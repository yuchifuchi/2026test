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使い方" sheetId="1" state="visible" r:id="rId1"/>
    <sheet name="01_重み付け設定" sheetId="2" state="visible" r:id="rId2"/>
    <sheet name="02_比較評価シート" sheetId="3" state="visible" r:id="rId3"/>
    <sheet name="03_稟議用サマリ" sheetId="4" state="visible" r:id="rId4"/>
    <sheet name="04_記入例" sheetId="5" state="visible" r:id="rId5"/>
    <sheet name="05_ベンダー質問リスト" sheetId="6" state="visible" r:id="rId6"/>
  </sheets>
  <definedNames/>
  <calcPr calcId="124519" fullCalcOnLoad="1"/>
</workbook>
</file>

<file path=xl/styles.xml><?xml version="1.0" encoding="utf-8"?>
<styleSheet xmlns="http://schemas.openxmlformats.org/spreadsheetml/2006/main">
  <numFmts count="1">
    <numFmt numFmtId="164" formatCode="0.0"/>
  </numFmts>
  <fonts count="20">
    <font>
      <name val="Calibri"/>
      <family val="2"/>
      <color theme="1"/>
      <sz val="11"/>
      <scheme val="minor"/>
    </font>
    <font>
      <name val="Meiryo"/>
      <b val="1"/>
      <color rgb="00FFFFFF"/>
      <sz val="13"/>
    </font>
    <font>
      <name val="Meiryo"/>
      <b val="1"/>
      <color rgb="00404040"/>
      <sz val="10"/>
    </font>
    <font>
      <name val="Meiryo"/>
      <color rgb="00000000"/>
      <sz val="10"/>
    </font>
    <font>
      <name val="Meiryo"/>
      <b val="1"/>
      <color rgb="001F3864"/>
      <sz val="11"/>
    </font>
    <font>
      <name val="Meiryo"/>
      <color rgb="00404040"/>
      <sz val="10"/>
    </font>
    <font>
      <name val="Meiryo"/>
      <color rgb="00C00000"/>
      <sz val="9"/>
    </font>
    <font>
      <name val="Meiryo"/>
      <b val="1"/>
      <color rgb="00FFFFFF"/>
      <sz val="10"/>
    </font>
    <font>
      <name val="Meiryo"/>
      <color rgb="00808080"/>
      <sz val="9"/>
    </font>
    <font>
      <name val="Meiryo"/>
      <b val="1"/>
      <color rgb="00000000"/>
      <sz val="10"/>
    </font>
    <font>
      <name val="Meiryo"/>
      <color rgb="00404040"/>
      <sz val="9"/>
    </font>
    <font>
      <name val="Meiryo"/>
      <color rgb="00000000"/>
      <sz val="9"/>
    </font>
    <font>
      <name val="Meiryo"/>
      <b val="1"/>
      <color rgb="00000000"/>
      <sz val="9"/>
    </font>
    <font>
      <name val="Meiryo"/>
      <b val="1"/>
      <color rgb="00C00000"/>
      <sz val="10"/>
    </font>
    <font>
      <name val="Meiryo"/>
      <color rgb="00808080"/>
      <sz val="10"/>
    </font>
    <font>
      <name val="Meiryo"/>
      <b val="1"/>
      <color rgb="00808080"/>
      <sz val="9"/>
    </font>
    <font>
      <name val="Meiryo"/>
      <b val="1"/>
      <color rgb="00000000"/>
      <sz val="11"/>
    </font>
    <font>
      <name val="Meiryo"/>
      <color rgb="00BFBFBF"/>
      <sz val="8"/>
    </font>
    <font>
      <name val="Meiryo"/>
      <b val="1"/>
      <color rgb="001F3864"/>
      <sz val="10"/>
    </font>
    <font>
      <name val="Meiryo"/>
      <i val="1"/>
      <color rgb="00C00000"/>
      <sz val="9"/>
    </font>
  </fonts>
  <fills count="7">
    <fill>
      <patternFill/>
    </fill>
    <fill>
      <patternFill patternType="gray125"/>
    </fill>
    <fill>
      <patternFill patternType="solid">
        <fgColor rgb="001F3864"/>
      </patternFill>
    </fill>
    <fill>
      <patternFill patternType="solid">
        <fgColor rgb="00D9E2F3"/>
      </patternFill>
    </fill>
    <fill>
      <patternFill patternType="solid">
        <fgColor rgb="00FFF2CC"/>
      </patternFill>
    </fill>
    <fill>
      <patternFill patternType="solid">
        <fgColor rgb="00F7F9FC"/>
      </patternFill>
    </fill>
    <fill>
      <patternFill patternType="solid">
        <fgColor rgb="00EDEDED"/>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68">
    <xf numFmtId="0" fontId="0" fillId="0" borderId="0" pivotButton="0" quotePrefix="0" xfId="0"/>
    <xf numFmtId="0" fontId="1" fillId="2" borderId="0" applyAlignment="1" pivotButton="0" quotePrefix="0" xfId="0">
      <alignment horizontal="left" vertical="center"/>
    </xf>
    <xf numFmtId="0" fontId="2" fillId="0" borderId="0" applyAlignment="1" pivotButton="0" quotePrefix="0" xfId="0">
      <alignment horizontal="right" vertical="center"/>
    </xf>
    <xf numFmtId="0" fontId="3" fillId="0" borderId="0" applyAlignment="1" pivotButton="0" quotePrefix="0" xfId="0">
      <alignment horizontal="left" vertical="center" wrapText="1"/>
    </xf>
    <xf numFmtId="0" fontId="4" fillId="3" borderId="0" applyAlignment="1" pivotButton="0" quotePrefix="0" xfId="0">
      <alignment vertical="center"/>
    </xf>
    <xf numFmtId="0" fontId="5" fillId="0" borderId="0" applyAlignment="1" pivotButton="0" quotePrefix="0" xfId="0">
      <alignment vertical="center"/>
    </xf>
    <xf numFmtId="0" fontId="6" fillId="0" borderId="0" applyAlignment="1" pivotButton="0" quotePrefix="0" xfId="0">
      <alignment vertical="center"/>
    </xf>
    <xf numFmtId="0" fontId="7" fillId="2" borderId="1" applyAlignment="1" pivotButton="0" quotePrefix="0" xfId="0">
      <alignment horizontal="center" vertical="center" wrapText="1"/>
    </xf>
    <xf numFmtId="0" fontId="8" fillId="0" borderId="1" applyAlignment="1" pivotButton="0" quotePrefix="0" xfId="0">
      <alignment horizontal="center" vertical="center"/>
    </xf>
    <xf numFmtId="0" fontId="9" fillId="0" borderId="1" applyAlignment="1" pivotButton="0" quotePrefix="0" xfId="0">
      <alignment vertical="center"/>
    </xf>
    <xf numFmtId="1" fontId="9" fillId="4" borderId="1" applyAlignment="1" pivotButton="0" quotePrefix="0" xfId="0">
      <alignment horizontal="center" vertical="center"/>
    </xf>
    <xf numFmtId="0" fontId="10" fillId="0" borderId="1" applyAlignment="1" pivotButton="0" quotePrefix="0" xfId="0">
      <alignment horizontal="left" vertical="center" wrapText="1"/>
    </xf>
    <xf numFmtId="0" fontId="11" fillId="5" borderId="1" applyAlignment="1" pivotButton="0" quotePrefix="0" xfId="0">
      <alignment horizontal="center" vertical="center"/>
    </xf>
    <xf numFmtId="0" fontId="9" fillId="6" borderId="1" applyAlignment="1" pivotButton="0" quotePrefix="0" xfId="0">
      <alignment horizontal="right" vertical="center"/>
    </xf>
    <xf numFmtId="1" fontId="9" fillId="6" borderId="1" applyAlignment="1" pivotButton="0" quotePrefix="0" xfId="0">
      <alignment horizontal="center" vertical="center"/>
    </xf>
    <xf numFmtId="0" fontId="9" fillId="6" borderId="1" applyAlignment="1" pivotButton="0" quotePrefix="0" xfId="0">
      <alignment horizontal="left" vertical="center"/>
    </xf>
    <xf numFmtId="0" fontId="11" fillId="6" borderId="1" applyAlignment="1" pivotButton="0" quotePrefix="0" xfId="0">
      <alignment horizontal="center" vertical="center"/>
    </xf>
    <xf numFmtId="0" fontId="4" fillId="0" borderId="0" applyAlignment="1" pivotButton="0" quotePrefix="0" xfId="0">
      <alignment vertical="center"/>
    </xf>
    <xf numFmtId="0" fontId="10" fillId="0" borderId="0" applyAlignment="1" pivotButton="0" quotePrefix="0" xfId="0">
      <alignment horizontal="left" vertical="center"/>
    </xf>
    <xf numFmtId="0" fontId="9" fillId="0" borderId="0" applyAlignment="1" pivotButton="0" quotePrefix="0" xfId="0">
      <alignment horizontal="right" vertical="center"/>
    </xf>
    <xf numFmtId="0" fontId="3" fillId="4" borderId="1" applyAlignment="1" pivotButton="0" quotePrefix="0" xfId="0">
      <alignment horizontal="left" vertical="center"/>
    </xf>
    <xf numFmtId="0" fontId="4" fillId="3" borderId="0" applyAlignment="1" pivotButton="0" quotePrefix="0" xfId="0">
      <alignment horizontal="left" vertical="center"/>
    </xf>
    <xf numFmtId="0" fontId="9" fillId="4" borderId="1" applyAlignment="1" pivotButton="0" quotePrefix="0" xfId="0">
      <alignment horizontal="center" vertical="center"/>
    </xf>
    <xf numFmtId="0" fontId="8" fillId="0" borderId="0" applyAlignment="1" pivotButton="0" quotePrefix="0" xfId="0">
      <alignment vertical="center"/>
    </xf>
    <xf numFmtId="0" fontId="9" fillId="3" borderId="1" applyAlignment="1" pivotButton="0" quotePrefix="0" xfId="0">
      <alignment horizontal="center" vertical="center"/>
    </xf>
    <xf numFmtId="0" fontId="3" fillId="0" borderId="1" applyAlignment="1" pivotButton="0" quotePrefix="0" xfId="0">
      <alignment horizontal="left" vertical="center" wrapText="1"/>
    </xf>
    <xf numFmtId="0" fontId="11" fillId="0" borderId="1" applyAlignment="1" pivotButton="0" quotePrefix="0" xfId="0">
      <alignment horizontal="center" vertical="center"/>
    </xf>
    <xf numFmtId="3" fontId="3" fillId="4" borderId="1" applyAlignment="1" pivotButton="0" quotePrefix="0" xfId="0">
      <alignment horizontal="right" vertical="center"/>
    </xf>
    <xf numFmtId="0" fontId="11" fillId="0" borderId="1" applyAlignment="1" pivotButton="0" quotePrefix="0" xfId="0">
      <alignment horizontal="left" vertical="center" wrapText="1"/>
    </xf>
    <xf numFmtId="0" fontId="9" fillId="6" borderId="1" applyAlignment="1" pivotButton="0" quotePrefix="0" xfId="0">
      <alignment vertical="center"/>
    </xf>
    <xf numFmtId="0" fontId="12" fillId="6" borderId="1" applyAlignment="1" pivotButton="0" quotePrefix="0" xfId="0">
      <alignment horizontal="center" vertical="center"/>
    </xf>
    <xf numFmtId="3" fontId="9" fillId="6" borderId="1" applyAlignment="1" pivotButton="0" quotePrefix="0" xfId="0">
      <alignment horizontal="right" vertical="center"/>
    </xf>
    <xf numFmtId="0" fontId="8" fillId="0" borderId="1" applyAlignment="1" pivotButton="0" quotePrefix="0" xfId="0">
      <alignment vertical="center"/>
    </xf>
    <xf numFmtId="0" fontId="10" fillId="0" borderId="0" applyAlignment="1" pivotButton="0" quotePrefix="0" xfId="0">
      <alignment vertical="center"/>
    </xf>
    <xf numFmtId="0" fontId="7" fillId="2" borderId="1" applyAlignment="1" pivotButton="0" quotePrefix="0" xfId="0">
      <alignment horizontal="center" vertical="center"/>
    </xf>
    <xf numFmtId="0" fontId="11" fillId="0" borderId="1" applyAlignment="1" pivotButton="0" quotePrefix="0" xfId="0">
      <alignment horizontal="center" vertical="center" wrapText="1"/>
    </xf>
    <xf numFmtId="0" fontId="13" fillId="0" borderId="1" applyAlignment="1" pivotButton="0" quotePrefix="0" xfId="0">
      <alignment horizontal="center" vertical="center"/>
    </xf>
    <xf numFmtId="0" fontId="11" fillId="5" borderId="1" applyAlignment="1" pivotButton="0" quotePrefix="0" xfId="0">
      <alignment horizontal="center" vertical="center" wrapText="1"/>
    </xf>
    <xf numFmtId="0" fontId="3" fillId="5" borderId="1" applyAlignment="1" pivotButton="0" quotePrefix="0" xfId="0">
      <alignment horizontal="left" vertical="center" wrapText="1"/>
    </xf>
    <xf numFmtId="0" fontId="10" fillId="5" borderId="1" applyAlignment="1" pivotButton="0" quotePrefix="0" xfId="0">
      <alignment horizontal="left" vertical="center" wrapText="1"/>
    </xf>
    <xf numFmtId="0" fontId="14" fillId="5" borderId="1" applyAlignment="1" pivotButton="0" quotePrefix="0" xfId="0">
      <alignment horizontal="center" vertical="center"/>
    </xf>
    <xf numFmtId="0" fontId="11" fillId="5" borderId="1" applyAlignment="1" pivotButton="0" quotePrefix="0" xfId="0">
      <alignment horizontal="left" vertical="center" wrapText="1"/>
    </xf>
    <xf numFmtId="0" fontId="14" fillId="0" borderId="1" applyAlignment="1" pivotButton="0" quotePrefix="0" xfId="0">
      <alignment horizontal="center" vertical="center"/>
    </xf>
    <xf numFmtId="164" fontId="9" fillId="6" borderId="1" applyAlignment="1" pivotButton="0" quotePrefix="0" xfId="0">
      <alignment horizontal="center" vertical="center"/>
    </xf>
    <xf numFmtId="0" fontId="13" fillId="5" borderId="1" applyAlignment="1" pivotButton="0" quotePrefix="0" xfId="0">
      <alignment horizontal="center" vertical="center"/>
    </xf>
    <xf numFmtId="0" fontId="9" fillId="6" borderId="1" applyAlignment="1" pivotButton="0" quotePrefix="0" xfId="0">
      <alignment horizontal="center" vertical="center"/>
    </xf>
    <xf numFmtId="3" fontId="3" fillId="6" borderId="1" applyAlignment="1" pivotButton="0" quotePrefix="0" xfId="0">
      <alignment horizontal="right" vertical="center"/>
    </xf>
    <xf numFmtId="0" fontId="15" fillId="0" borderId="0" applyAlignment="1" pivotButton="0" quotePrefix="0" xfId="0">
      <alignment vertical="center"/>
    </xf>
    <xf numFmtId="0" fontId="11" fillId="6" borderId="1" applyAlignment="1" pivotButton="0" quotePrefix="0" xfId="0">
      <alignment vertical="center"/>
    </xf>
    <xf numFmtId="1" fontId="11" fillId="6" borderId="1" applyAlignment="1" pivotButton="0" quotePrefix="0" xfId="0">
      <alignment horizontal="center" vertical="center"/>
    </xf>
    <xf numFmtId="2" fontId="11" fillId="6" borderId="1" applyAlignment="1" pivotButton="0" quotePrefix="0" xfId="0">
      <alignment horizontal="center" vertical="center"/>
    </xf>
    <xf numFmtId="0" fontId="16" fillId="0" borderId="0" applyAlignment="1" pivotButton="0" quotePrefix="0" xfId="0">
      <alignment vertical="center"/>
    </xf>
    <xf numFmtId="0" fontId="17" fillId="0" borderId="0" applyAlignment="1" pivotButton="0" quotePrefix="0" xfId="0">
      <alignment horizontal="center" vertical="center"/>
    </xf>
    <xf numFmtId="0" fontId="9" fillId="0" borderId="1" applyAlignment="1" pivotButton="0" quotePrefix="0" xfId="0">
      <alignment horizontal="center" vertical="center"/>
    </xf>
    <xf numFmtId="164" fontId="9" fillId="0" borderId="1" applyAlignment="1" pivotButton="0" quotePrefix="0" xfId="0">
      <alignment horizontal="center" vertical="center"/>
    </xf>
    <xf numFmtId="0" fontId="3" fillId="0" borderId="1" applyAlignment="1" pivotButton="0" quotePrefix="0" xfId="0">
      <alignment horizontal="center" vertical="center"/>
    </xf>
    <xf numFmtId="3" fontId="3" fillId="0" borderId="1" applyAlignment="1" pivotButton="0" quotePrefix="0" xfId="0">
      <alignment horizontal="right" vertical="center"/>
    </xf>
    <xf numFmtId="164" fontId="17" fillId="0" borderId="0" applyAlignment="1" pivotButton="0" quotePrefix="0" xfId="0">
      <alignment horizontal="center" vertical="center"/>
    </xf>
    <xf numFmtId="0" fontId="3" fillId="0" borderId="1" applyAlignment="1" pivotButton="0" quotePrefix="0" xfId="0">
      <alignment vertical="center"/>
    </xf>
    <xf numFmtId="1" fontId="3" fillId="0" borderId="1" applyAlignment="1" pivotButton="0" quotePrefix="0" xfId="0">
      <alignment horizontal="center" vertical="center"/>
    </xf>
    <xf numFmtId="2" fontId="3" fillId="0" borderId="1" applyAlignment="1" pivotButton="0" quotePrefix="0" xfId="0">
      <alignment horizontal="center" vertical="center"/>
    </xf>
    <xf numFmtId="0" fontId="18" fillId="0" borderId="0" applyAlignment="1" pivotButton="0" quotePrefix="0" xfId="0">
      <alignment vertical="center"/>
    </xf>
    <xf numFmtId="0" fontId="3" fillId="4" borderId="1" applyAlignment="1" pivotButton="0" quotePrefix="0" xfId="0">
      <alignment horizontal="left" vertical="center" wrapText="1"/>
    </xf>
    <xf numFmtId="0" fontId="19" fillId="0" borderId="0" applyAlignment="1" pivotButton="0" quotePrefix="0" xfId="0">
      <alignment vertical="center"/>
    </xf>
    <xf numFmtId="0" fontId="3" fillId="0" borderId="1" applyAlignment="1" pivotButton="0" quotePrefix="0" xfId="0">
      <alignment horizontal="left" vertical="center"/>
    </xf>
    <xf numFmtId="0" fontId="9" fillId="5" borderId="1" applyAlignment="1" pivotButton="0" quotePrefix="0" xfId="0">
      <alignment horizontal="center" vertical="center"/>
    </xf>
    <xf numFmtId="0" fontId="10" fillId="0" borderId="0" applyAlignment="1" pivotButton="0" quotePrefix="0" xfId="0">
      <alignment horizontal="left" vertical="center" wrapText="1"/>
    </xf>
    <xf numFmtId="0" fontId="3" fillId="4"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harts/chart1.xml><?xml version="1.0" encoding="utf-8"?>
<chartSpace xmlns:a="http://schemas.openxmlformats.org/drawingml/2006/main" xmlns="http://schemas.openxmlformats.org/drawingml/2006/chart">
  <style val="26"/>
  <chart>
    <title>
      <tx>
        <rich>
          <a:bodyPr/>
          <a:p>
            <a:pPr>
              <a:defRPr/>
            </a:pPr>
            <a:r>
              <a:t>大分類別スコア比較</a:t>
            </a:r>
          </a:p>
        </rich>
      </tx>
    </title>
    <plotArea>
      <radarChart>
        <radarStyle val="marker"/>
        <ser>
          <idx val="0"/>
          <order val="0"/>
          <tx>
            <strRef>
              <f>'03_稟議用サマリ'!D12</f>
            </strRef>
          </tx>
          <spPr>
            <a:ln>
              <a:prstDash val="solid"/>
            </a:ln>
          </spPr>
          <marker>
            <symbol val="none"/>
            <spPr>
              <a:ln>
                <a:prstDash val="solid"/>
              </a:ln>
            </spPr>
          </marker>
          <cat>
            <numRef>
              <f>'03_稟議用サマリ'!$B$13:$B$18</f>
            </numRef>
          </cat>
          <val>
            <numRef>
              <f>'03_稟議用サマリ'!$D$13:$D$18</f>
            </numRef>
          </val>
        </ser>
        <ser>
          <idx val="1"/>
          <order val="1"/>
          <tx>
            <strRef>
              <f>'03_稟議用サマリ'!E12</f>
            </strRef>
          </tx>
          <spPr>
            <a:ln>
              <a:prstDash val="solid"/>
            </a:ln>
          </spPr>
          <marker>
            <symbol val="none"/>
            <spPr>
              <a:ln>
                <a:prstDash val="solid"/>
              </a:ln>
            </spPr>
          </marker>
          <cat>
            <numRef>
              <f>'03_稟議用サマリ'!$B$13:$B$18</f>
            </numRef>
          </cat>
          <val>
            <numRef>
              <f>'03_稟議用サマリ'!$E$13:$E$18</f>
            </numRef>
          </val>
        </ser>
        <ser>
          <idx val="2"/>
          <order val="2"/>
          <tx>
            <strRef>
              <f>'03_稟議用サマリ'!F12</f>
            </strRef>
          </tx>
          <spPr>
            <a:ln>
              <a:prstDash val="solid"/>
            </a:ln>
          </spPr>
          <marker>
            <symbol val="none"/>
            <spPr>
              <a:ln>
                <a:prstDash val="solid"/>
              </a:ln>
            </spPr>
          </marker>
          <cat>
            <numRef>
              <f>'03_稟議用サマリ'!$B$13:$B$18</f>
            </numRef>
          </cat>
          <val>
            <numRef>
              <f>'03_稟議用サマリ'!$F$13:$F$18</f>
            </numRef>
          </val>
        </ser>
        <ser>
          <idx val="3"/>
          <order val="3"/>
          <tx>
            <strRef>
              <f>'03_稟議用サマリ'!G12</f>
            </strRef>
          </tx>
          <spPr>
            <a:ln>
              <a:prstDash val="solid"/>
            </a:ln>
          </spPr>
          <marker>
            <symbol val="none"/>
            <spPr>
              <a:ln>
                <a:prstDash val="solid"/>
              </a:ln>
            </spPr>
          </marker>
          <cat>
            <numRef>
              <f>'03_稟議用サマリ'!$B$13:$B$18</f>
            </numRef>
          </cat>
          <val>
            <numRef>
              <f>'03_稟議用サマリ'!$G$13:$G$18</f>
            </numRef>
          </val>
        </ser>
        <axId val="10"/>
        <axId val="100"/>
      </rad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20</row>
      <rowOff>0</rowOff>
    </from>
    <ext cx="4680000" cy="360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C33"/>
  <sheetViews>
    <sheetView showGridLines="0" workbookViewId="0">
      <selection activeCell="A1" sqref="A1"/>
    </sheetView>
  </sheetViews>
  <sheetFormatPr baseColWidth="8" defaultRowHeight="15"/>
  <cols>
    <col width="4" customWidth="1" min="1" max="1"/>
    <col width="30" customWidth="1" min="2" max="2"/>
    <col width="86" customWidth="1" min="3" max="3"/>
  </cols>
  <sheetData>
    <row r="1" ht="26" customHeight="1">
      <c r="A1" s="1" t="inlineStr">
        <is>
          <t>業務システム調達 ベンダー比較評価シート  ─ 使い方</t>
        </is>
      </c>
    </row>
    <row r="2">
      <c r="B2" s="2" t="inlineStr"/>
      <c r="C2" s="3" t="inlineStr"/>
    </row>
    <row r="3">
      <c r="B3" s="4" t="inlineStr">
        <is>
          <t>■ このシートの目的</t>
        </is>
      </c>
    </row>
    <row r="4" ht="20" customHeight="1">
      <c r="B4" s="2" t="inlineStr"/>
      <c r="C4" s="3" t="inlineStr">
        <is>
          <t>比較表を作ることではなく、ベンダーに会う前に「評価軸」と「優先順位」を確定させることです。</t>
        </is>
      </c>
    </row>
    <row r="5" ht="20" customHeight="1">
      <c r="B5" s="2" t="inlineStr"/>
      <c r="C5" s="3" t="inlineStr">
        <is>
          <t>評価軸を後から作ると、提案書の上手いベンダーが勝ちます。順序を逆にしないでください。</t>
        </is>
      </c>
    </row>
    <row r="6">
      <c r="B6" s="2" t="inlineStr"/>
      <c r="C6" s="3" t="inlineStr"/>
    </row>
    <row r="7">
      <c r="B7" s="4" t="inlineStr">
        <is>
          <t>■ 進め方</t>
        </is>
      </c>
    </row>
    <row r="8" ht="20" customHeight="1">
      <c r="B8" s="2" t="inlineStr">
        <is>
          <t>STEP 0</t>
        </is>
      </c>
      <c r="C8" s="3" t="inlineStr">
        <is>
          <t>01_重み付け設定 で、6つの大分類に重みを割り振る。プリセットを選んで微調整するのが早い。</t>
        </is>
      </c>
    </row>
    <row r="9" ht="20" customHeight="1">
      <c r="B9" s="2" t="inlineStr"/>
      <c r="C9" s="3" t="inlineStr">
        <is>
          <t>ここはベンダーに会う前に決めきる。会った後に重みを変えると、それは評価ではなく後付けの理由づけです。</t>
        </is>
      </c>
    </row>
    <row r="10" ht="20" customHeight="1">
      <c r="B10" s="2" t="inlineStr">
        <is>
          <t>STEP 1</t>
        </is>
      </c>
      <c r="C10" s="3" t="inlineStr">
        <is>
          <t>02_比較評価シート にベンダー名を入力する(最大4社)。全シートに自動反映されます。</t>
        </is>
      </c>
    </row>
    <row r="11" ht="20" customHeight="1">
      <c r="B11" s="2" t="inlineStr">
        <is>
          <t>STEP 2</t>
        </is>
      </c>
      <c r="C11" s="3" t="inlineStr">
        <is>
          <t>費用を入力する。5年総額(TCO)が自動算出され、コストの点数も自動でつきます。</t>
        </is>
      </c>
    </row>
    <row r="12" ht="20" customHeight="1">
      <c r="B12" s="2" t="inlineStr">
        <is>
          <t>STEP 3</t>
        </is>
      </c>
      <c r="C12" s="3" t="inlineStr">
        <is>
          <t>29項目を 1〜5 で評価する。分からない項目は空欄のまま、05_ベンダー質問リスト で確認する。</t>
        </is>
      </c>
    </row>
    <row r="13" ht="20" customHeight="1">
      <c r="B13" s="2" t="inlineStr">
        <is>
          <t>STEP 4</t>
        </is>
      </c>
      <c r="C13" s="3" t="inlineStr">
        <is>
          <t>03_稟議用サマリ で総合点・順位・レーダーチャート・稟議文面のたたき台を確認する。</t>
        </is>
      </c>
    </row>
    <row r="14">
      <c r="B14" s="2" t="inlineStr"/>
      <c r="C14" s="3" t="inlineStr"/>
    </row>
    <row r="15">
      <c r="B15" s="4" t="inlineStr">
        <is>
          <t>■ 色の意味</t>
        </is>
      </c>
    </row>
    <row r="16" ht="20" customHeight="1">
      <c r="B16" s="2" t="inlineStr">
        <is>
          <t>黄色のセル</t>
        </is>
      </c>
      <c r="C16" s="3" t="inlineStr">
        <is>
          <t>入力欄。ここだけを埋めてください。</t>
        </is>
      </c>
    </row>
    <row r="17" ht="20" customHeight="1">
      <c r="B17" s="2" t="inlineStr">
        <is>
          <t>灰色のセル</t>
        </is>
      </c>
      <c r="C17" s="3" t="inlineStr">
        <is>
          <t>自動計算。触ると壊れます。</t>
        </is>
      </c>
    </row>
    <row r="18">
      <c r="B18" s="2" t="inlineStr"/>
      <c r="C18" s="3" t="inlineStr"/>
    </row>
    <row r="19">
      <c r="B19" s="4" t="inlineStr">
        <is>
          <t>■ Must(必須要件)の扱い</t>
        </is>
      </c>
    </row>
    <row r="20" ht="20" customHeight="1">
      <c r="B20" s="2" t="inlineStr"/>
      <c r="C20" s="3" t="inlineStr">
        <is>
          <t>Must欄が「○」の項目で 2以下 が1つでもあると、総合点に関わらず「要再検討」と判定されます。</t>
        </is>
      </c>
    </row>
    <row r="21" ht="20" customHeight="1">
      <c r="B21" s="2" t="inlineStr"/>
      <c r="C21" s="3" t="inlineStr">
        <is>
          <t>点数だけで運用すると、必須要件を満たさない会社が総合点で勝ってしまう事故が起きます。</t>
        </is>
      </c>
    </row>
    <row r="22" ht="20" customHeight="1">
      <c r="B22" s="2" t="inlineStr"/>
      <c r="C22" s="3" t="inlineStr">
        <is>
          <t>この分離が、このシートで最も重要な仕組みです。判定を無視して進める場合は、理由を稟議に明記してください。</t>
        </is>
      </c>
    </row>
    <row r="23">
      <c r="B23" s="2" t="inlineStr"/>
      <c r="C23" s="3" t="inlineStr"/>
    </row>
    <row r="24">
      <c r="B24" s="4" t="inlineStr">
        <is>
          <t>■ 使うときの注意</t>
        </is>
      </c>
    </row>
    <row r="25" ht="20" customHeight="1">
      <c r="B25" s="2" t="inlineStr">
        <is>
          <t>1</t>
        </is>
      </c>
      <c r="C25" s="3" t="inlineStr">
        <is>
          <t>評点は必ず根拠とセットで。メモ欄が空の点数は、3か月後の自分が説明できません。</t>
        </is>
      </c>
    </row>
    <row r="26" ht="20" customHeight="1">
      <c r="B26" s="2" t="inlineStr">
        <is>
          <t>2</t>
        </is>
      </c>
      <c r="C26" s="3" t="inlineStr">
        <is>
          <t>利用部門の担当者にも同じシートで評価してもらい、点数の差が大きい項目を議論の起点にする。</t>
        </is>
      </c>
    </row>
    <row r="27" ht="20" customHeight="1">
      <c r="B27" s="2" t="inlineStr">
        <is>
          <t>3</t>
        </is>
      </c>
      <c r="C27" s="3" t="inlineStr">
        <is>
          <t>初期費用ではなくTCOで並べる。順位が入れ替わるのが普通です。</t>
        </is>
      </c>
    </row>
    <row r="28" ht="20" customHeight="1">
      <c r="B28" s="2" t="inlineStr">
        <is>
          <t>4</t>
        </is>
      </c>
      <c r="C28" s="3" t="inlineStr">
        <is>
          <t>「自社側に必要な工数」は見積書に出てきません。必ずベンダーに人日で出させてください。</t>
        </is>
      </c>
    </row>
    <row r="29" ht="20" customHeight="1">
      <c r="B29" s="2" t="inlineStr">
        <is>
          <t>5</t>
        </is>
      </c>
      <c r="C29" s="3" t="inlineStr">
        <is>
          <t>評価項目・重みは自社に合わせて足し引きして構いません。ただしベンダーに会う前に確定させること。</t>
        </is>
      </c>
    </row>
    <row r="30">
      <c r="B30" s="2" t="inlineStr"/>
      <c r="C30" s="3" t="inlineStr"/>
    </row>
    <row r="31">
      <c r="B31" s="4" t="inlineStr">
        <is>
          <t>■ 免責</t>
        </is>
      </c>
    </row>
    <row r="32" ht="20" customHeight="1">
      <c r="B32" s="2" t="inlineStr"/>
      <c r="C32" s="3" t="inlineStr">
        <is>
          <t>本シートは調達判断を補助するツールであり、特定の製品・ベンダーの選定結果を保証するものではありません。</t>
        </is>
      </c>
    </row>
    <row r="33" ht="20" customHeight="1">
      <c r="B33" s="2" t="inlineStr"/>
      <c r="C33" s="3" t="inlineStr">
        <is>
          <t>契約・法務・会計上の判断は、必ず自社の該当部門および専門家にご確認ください。</t>
        </is>
      </c>
    </row>
  </sheetData>
  <mergeCells count="7">
    <mergeCell ref="B24:C24"/>
    <mergeCell ref="B15:C15"/>
    <mergeCell ref="B7:C7"/>
    <mergeCell ref="A1:C1"/>
    <mergeCell ref="B3:C3"/>
    <mergeCell ref="B19:C19"/>
    <mergeCell ref="B31:C3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4" customWidth="1" min="1" max="1"/>
    <col width="18" customWidth="1" min="2" max="2"/>
    <col width="12" customWidth="1" min="3" max="3"/>
    <col width="62" customWidth="1" min="4" max="4"/>
    <col width="15" customWidth="1" min="5" max="5"/>
    <col width="15" customWidth="1" min="6" max="6"/>
    <col width="15" customWidth="1" min="7" max="7"/>
    <col width="15" customWidth="1" min="8" max="8"/>
  </cols>
  <sheetData>
    <row r="1" ht="26" customHeight="1">
      <c r="A1" s="1" t="inlineStr">
        <is>
          <t>STEP 0  評価軸の重み付け設定</t>
        </is>
      </c>
    </row>
    <row r="2">
      <c r="B2" s="5" t="inlineStr">
        <is>
          <t>合計が100になるように配分してください。右のプリセットを転記して微調整するのが最短です。</t>
        </is>
      </c>
    </row>
    <row r="3">
      <c r="B3" s="6" t="inlineStr">
        <is>
          <t>重みは必ずベンダーに会う前に確定させること。後から変えると評価ではなく後付けの理由づけになります。</t>
        </is>
      </c>
    </row>
    <row r="4" ht="34" customHeight="1">
      <c r="A4" s="7" t="inlineStr"/>
      <c r="B4" s="7" t="inlineStr">
        <is>
          <t>大分類</t>
        </is>
      </c>
      <c r="C4" s="7" t="inlineStr">
        <is>
          <t>重み(%)</t>
        </is>
      </c>
      <c r="D4" s="7" t="inlineStr">
        <is>
          <t>この軸で見るもの</t>
        </is>
      </c>
      <c r="E4" s="7" t="inlineStr">
        <is>
          <t>A: 現場業務を変えたくない</t>
        </is>
      </c>
      <c r="F4" s="7" t="inlineStr">
        <is>
          <t>B: 予算の制約が厳しい</t>
        </is>
      </c>
      <c r="G4" s="7" t="inlineStr">
        <is>
          <t>C: 情シスの人手が少ない</t>
        </is>
      </c>
      <c r="H4" s="7" t="inlineStr">
        <is>
          <t>D: 将来の連携・拡張を見据える</t>
        </is>
      </c>
    </row>
    <row r="5" ht="30" customHeight="1">
      <c r="A5" s="8" t="inlineStr">
        <is>
          <t>C1</t>
        </is>
      </c>
      <c r="B5" s="9" t="inlineStr">
        <is>
          <t>機能適合</t>
        </is>
      </c>
      <c r="C5" s="10" t="n">
        <v>25</v>
      </c>
      <c r="D5" s="11" t="inlineStr">
        <is>
          <t>自社の業務要件を満たすか。標準機能で満たせるほど高評価</t>
        </is>
      </c>
      <c r="E5" s="12" t="n">
        <v>35</v>
      </c>
      <c r="F5" s="12" t="n">
        <v>20</v>
      </c>
      <c r="G5" s="12" t="n">
        <v>20</v>
      </c>
      <c r="H5" s="12" t="n">
        <v>20</v>
      </c>
    </row>
    <row r="6" ht="30" customHeight="1">
      <c r="A6" s="8" t="inlineStr">
        <is>
          <t>C2</t>
        </is>
      </c>
      <c r="B6" s="9" t="inlineStr">
        <is>
          <t>コスト</t>
        </is>
      </c>
      <c r="C6" s="10" t="n">
        <v>20</v>
      </c>
      <c r="D6" s="11" t="inlineStr">
        <is>
          <t>5年総額(TCO)と費用構造の透明性。単年の初期費用では見ない</t>
        </is>
      </c>
      <c r="E6" s="12" t="n">
        <v>15</v>
      </c>
      <c r="F6" s="12" t="n">
        <v>35</v>
      </c>
      <c r="G6" s="12" t="n">
        <v>15</v>
      </c>
      <c r="H6" s="12" t="n">
        <v>15</v>
      </c>
    </row>
    <row r="7" ht="30" customHeight="1">
      <c r="A7" s="8" t="inlineStr">
        <is>
          <t>C3</t>
        </is>
      </c>
      <c r="B7" s="9" t="inlineStr">
        <is>
          <t>導入・移行負荷</t>
        </is>
      </c>
      <c r="C7" s="10" t="n">
        <v>15</v>
      </c>
      <c r="D7" s="11" t="inlineStr">
        <is>
          <t>移行の難易度と、自社側に発生する工数。見積書に出てこない領域</t>
        </is>
      </c>
      <c r="E7" s="12" t="n">
        <v>15</v>
      </c>
      <c r="F7" s="12" t="n">
        <v>15</v>
      </c>
      <c r="G7" s="12" t="n">
        <v>25</v>
      </c>
      <c r="H7" s="12" t="n">
        <v>10</v>
      </c>
    </row>
    <row r="8" ht="30" customHeight="1">
      <c r="A8" s="8" t="inlineStr">
        <is>
          <t>C4</t>
        </is>
      </c>
      <c r="B8" s="9" t="inlineStr">
        <is>
          <t>サポート・保守</t>
        </is>
      </c>
      <c r="C8" s="10" t="n">
        <v>15</v>
      </c>
      <c r="D8" s="11" t="inlineStr">
        <is>
          <t>稼働後に効く。無償と有償の線引きが明文化されているか</t>
        </is>
      </c>
      <c r="E8" s="12" t="n">
        <v>15</v>
      </c>
      <c r="F8" s="12" t="n">
        <v>10</v>
      </c>
      <c r="G8" s="12" t="n">
        <v>25</v>
      </c>
      <c r="H8" s="12" t="n">
        <v>15</v>
      </c>
    </row>
    <row r="9" ht="30" customHeight="1">
      <c r="A9" s="8" t="inlineStr">
        <is>
          <t>C5</t>
        </is>
      </c>
      <c r="B9" s="9" t="inlineStr">
        <is>
          <t>拡張性・将来性</t>
        </is>
      </c>
      <c r="C9" s="10" t="n">
        <v>15</v>
      </c>
      <c r="D9" s="11" t="inlineStr">
        <is>
          <t>5年後に困らないか。連携手段とデータの持ち出し可否</t>
        </is>
      </c>
      <c r="E9" s="12" t="n">
        <v>10</v>
      </c>
      <c r="F9" s="12" t="n">
        <v>10</v>
      </c>
      <c r="G9" s="12" t="n">
        <v>10</v>
      </c>
      <c r="H9" s="12" t="n">
        <v>30</v>
      </c>
    </row>
    <row r="10" ht="30" customHeight="1">
      <c r="A10" s="8" t="inlineStr">
        <is>
          <t>C6</t>
        </is>
      </c>
      <c r="B10" s="9" t="inlineStr">
        <is>
          <t>ベンダー信頼性</t>
        </is>
      </c>
      <c r="C10" s="10" t="n">
        <v>10</v>
      </c>
      <c r="D10" s="11" t="inlineStr">
        <is>
          <t>提案の的確さと事業継続性。実績は同業種・同規模で見る</t>
        </is>
      </c>
      <c r="E10" s="12" t="n">
        <v>10</v>
      </c>
      <c r="F10" s="12" t="n">
        <v>10</v>
      </c>
      <c r="G10" s="12" t="n">
        <v>5</v>
      </c>
      <c r="H10" s="12" t="n">
        <v>10</v>
      </c>
    </row>
    <row r="11">
      <c r="B11" s="13" t="inlineStr">
        <is>
          <t>合計</t>
        </is>
      </c>
      <c r="C11" s="14">
        <f>SUM(C5:C10)</f>
        <v/>
      </c>
      <c r="D11" s="15">
        <f>IF(C11=100,"OK  合計100です","※ 合計が100になっていません("&amp;C11&amp;")。調整してください")</f>
        <v/>
      </c>
      <c r="E11" s="16">
        <f>SUM(E5:E10)</f>
        <v/>
      </c>
      <c r="F11" s="16">
        <f>SUM(F5:F10)</f>
        <v/>
      </c>
      <c r="G11" s="16">
        <f>SUM(G5:G10)</f>
        <v/>
      </c>
      <c r="H11" s="16">
        <f>SUM(H5:H10)</f>
        <v/>
      </c>
    </row>
    <row r="13">
      <c r="B13" s="17" t="inlineStr">
        <is>
          <t>重み付けの決め方</t>
        </is>
      </c>
    </row>
    <row r="14">
      <c r="B14" s="18" t="inlineStr">
        <is>
          <t>・「全部大事」は重み付けではありません。必ず差をつけてください。差がつかない配分は判断を先送りしているだけです。</t>
        </is>
      </c>
    </row>
    <row r="15">
      <c r="B15" s="18" t="inlineStr">
        <is>
          <t>・迷ったら「この案件が失敗するとしたら、原因は何か」を考え、その軸を重くします。</t>
        </is>
      </c>
    </row>
    <row r="16">
      <c r="B16" s="18" t="inlineStr">
        <is>
          <t>・現場の反対で頓挫しそうなら機能適合、情シスの手が足りないなら導入負荷とサポート、が実務的な目安です。</t>
        </is>
      </c>
    </row>
    <row r="17">
      <c r="B17" s="18" t="inlineStr">
        <is>
          <t>・重みは利用部門・上長と合意しておくと、稟議での説明がそのまま通ります。</t>
        </is>
      </c>
    </row>
  </sheetData>
  <mergeCells count="5">
    <mergeCell ref="B14:H14"/>
    <mergeCell ref="B17:H17"/>
    <mergeCell ref="B16:H16"/>
    <mergeCell ref="B15:H15"/>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65"/>
  <sheetViews>
    <sheetView showGridLines="0" workbookViewId="0">
      <pane xSplit="2" ySplit="24" topLeftCell="C25" activePane="bottomRight" state="frozen"/>
      <selection pane="topRight"/>
      <selection pane="bottomLeft"/>
      <selection pane="bottomRight" activeCell="A1" sqref="A1"/>
    </sheetView>
  </sheetViews>
  <sheetFormatPr baseColWidth="8" defaultRowHeight="15"/>
  <cols>
    <col width="14" customWidth="1" min="1" max="1"/>
    <col width="5" customWidth="1" min="2" max="2"/>
    <col width="34" customWidth="1" min="3" max="3"/>
    <col width="52" customWidth="1" min="4" max="4"/>
    <col width="6" customWidth="1" min="5" max="5"/>
    <col width="13" customWidth="1" min="6" max="6"/>
    <col width="13" customWidth="1" min="7" max="7"/>
    <col width="13" customWidth="1" min="8" max="8"/>
    <col width="13" customWidth="1" min="9" max="9"/>
    <col width="40" customWidth="1" min="10" max="10"/>
  </cols>
  <sheetData>
    <row r="1" ht="26" customHeight="1">
      <c r="A1" s="1" t="inlineStr">
        <is>
          <t>業務システム調達 ベンダー比較評価シート</t>
        </is>
      </c>
    </row>
    <row r="3">
      <c r="A3" s="19" t="inlineStr">
        <is>
          <t>案件名</t>
        </is>
      </c>
      <c r="B3" s="20" t="n"/>
    </row>
    <row r="4">
      <c r="A4" s="19" t="inlineStr">
        <is>
          <t>評価者</t>
        </is>
      </c>
      <c r="B4" s="20" t="n"/>
    </row>
    <row r="5">
      <c r="A5" s="19" t="inlineStr">
        <is>
          <t>評価日</t>
        </is>
      </c>
      <c r="B5" s="20" t="n"/>
    </row>
    <row r="7">
      <c r="A7" s="21" t="inlineStr">
        <is>
          <t>■ STEP1  比較するベンダー名を入力する(最大4社)</t>
        </is>
      </c>
    </row>
    <row r="8">
      <c r="A8" s="19" t="inlineStr">
        <is>
          <t>ベンダー名 →</t>
        </is>
      </c>
      <c r="F8" s="22" t="inlineStr">
        <is>
          <t>A社</t>
        </is>
      </c>
      <c r="G8" s="22" t="inlineStr">
        <is>
          <t>B社</t>
        </is>
      </c>
      <c r="H8" s="22" t="inlineStr">
        <is>
          <t>C社</t>
        </is>
      </c>
      <c r="I8" s="22" t="inlineStr">
        <is>
          <t>D社</t>
        </is>
      </c>
      <c r="J8" s="23" t="inlineStr">
        <is>
          <t>※ ここに入れた社名が全シートに反映されます</t>
        </is>
      </c>
    </row>
    <row r="10">
      <c r="A10" s="21" t="inlineStr">
        <is>
          <t>■ STEP2  費用を入力する(5年総額 TCO を自動算出)</t>
        </is>
      </c>
    </row>
    <row r="11">
      <c r="C11" s="24" t="inlineStr">
        <is>
          <t>費用項目(税抜・円)</t>
        </is>
      </c>
      <c r="D11" s="24" t="inlineStr">
        <is>
          <t>区分</t>
        </is>
      </c>
      <c r="F11" s="24">
        <f>IF(F8="","",F8)</f>
        <v/>
      </c>
      <c r="G11" s="24">
        <f>IF(G8="","",G8)</f>
        <v/>
      </c>
      <c r="H11" s="24">
        <f>IF(H8="","",H8)</f>
        <v/>
      </c>
      <c r="I11" s="24">
        <f>IF(I8="","",I8)</f>
        <v/>
      </c>
      <c r="J11" s="24" t="inlineStr">
        <is>
          <t>メモ</t>
        </is>
      </c>
    </row>
    <row r="12">
      <c r="C12" s="25" t="inlineStr">
        <is>
          <t>初期費用(ライセンス・構築)</t>
        </is>
      </c>
      <c r="D12" s="26" t="inlineStr">
        <is>
          <t>一時</t>
        </is>
      </c>
      <c r="F12" s="27" t="n"/>
      <c r="G12" s="27" t="n"/>
      <c r="H12" s="27" t="n"/>
      <c r="I12" s="27" t="n"/>
      <c r="J12" s="28" t="n"/>
    </row>
    <row r="13">
      <c r="C13" s="25" t="inlineStr">
        <is>
          <t>カスタマイズ・追加開発費</t>
        </is>
      </c>
      <c r="D13" s="26" t="inlineStr">
        <is>
          <t>一時</t>
        </is>
      </c>
      <c r="F13" s="27" t="n"/>
      <c r="G13" s="27" t="n"/>
      <c r="H13" s="27" t="n"/>
      <c r="I13" s="27" t="n"/>
      <c r="J13" s="28" t="n"/>
    </row>
    <row r="14">
      <c r="C14" s="25" t="inlineStr">
        <is>
          <t>データ移行費用</t>
        </is>
      </c>
      <c r="D14" s="26" t="inlineStr">
        <is>
          <t>一時</t>
        </is>
      </c>
      <c r="F14" s="27" t="n"/>
      <c r="G14" s="27" t="n"/>
      <c r="H14" s="27" t="n"/>
      <c r="I14" s="27" t="n"/>
      <c r="J14" s="28" t="n"/>
    </row>
    <row r="15">
      <c r="C15" s="25" t="inlineStr">
        <is>
          <t>自社側の追加コスト(端末・回線・外部委託等)</t>
        </is>
      </c>
      <c r="D15" s="26" t="inlineStr">
        <is>
          <t>一時</t>
        </is>
      </c>
      <c r="F15" s="27" t="n"/>
      <c r="G15" s="27" t="n"/>
      <c r="H15" s="27" t="n"/>
      <c r="I15" s="27" t="n"/>
      <c r="J15" s="28" t="n"/>
    </row>
    <row r="16">
      <c r="C16" s="25" t="inlineStr">
        <is>
          <t>年間ランニング費用(保守・利用料)</t>
        </is>
      </c>
      <c r="D16" s="26" t="inlineStr">
        <is>
          <t>年額</t>
        </is>
      </c>
      <c r="F16" s="27" t="n"/>
      <c r="G16" s="27" t="n"/>
      <c r="H16" s="27" t="n"/>
      <c r="I16" s="27" t="n"/>
      <c r="J16" s="28" t="n"/>
    </row>
    <row r="17">
      <c r="C17" s="25" t="inlineStr">
        <is>
          <t>年間その他費用(法改正対応・VUP等の想定)</t>
        </is>
      </c>
      <c r="D17" s="26" t="inlineStr">
        <is>
          <t>年額</t>
        </is>
      </c>
      <c r="F17" s="27" t="n"/>
      <c r="G17" s="27" t="n"/>
      <c r="H17" s="27" t="n"/>
      <c r="I17" s="27" t="n"/>
      <c r="J17" s="28" t="n"/>
    </row>
    <row r="18">
      <c r="C18" s="29" t="inlineStr">
        <is>
          <t>■ 5年総額(TCO)</t>
        </is>
      </c>
      <c r="D18" s="30" t="inlineStr">
        <is>
          <t>自動</t>
        </is>
      </c>
      <c r="F18" s="31">
        <f>IF(COUNT(F12:F17)=0,"",SUM(F12:F15)+SUM(F16:F17)*5)</f>
        <v/>
      </c>
      <c r="G18" s="31">
        <f>IF(COUNT(G12:G17)=0,"",SUM(G12:G15)+SUM(G16:G17)*5)</f>
        <v/>
      </c>
      <c r="H18" s="31">
        <f>IF(COUNT(H12:H17)=0,"",SUM(H12:H15)+SUM(H16:H17)*5)</f>
        <v/>
      </c>
      <c r="I18" s="31">
        <f>IF(COUNT(I12:I17)=0,"",SUM(I12:I15)+SUM(I16:I17)*5)</f>
        <v/>
      </c>
      <c r="J18" s="32" t="inlineStr">
        <is>
          <t>一時費用の合計 + 年額の合計×5年</t>
        </is>
      </c>
    </row>
    <row r="19">
      <c r="C19" s="6" t="inlineStr">
        <is>
          <t>※ 初期費用の安さで判断しないこと。TCOで並べ替えると順位が入れ替わるのが普通です。</t>
        </is>
      </c>
    </row>
    <row r="21">
      <c r="A21" s="21" t="inlineStr">
        <is>
          <t>■ STEP3  各項目を 1〜5 で評価する</t>
        </is>
      </c>
    </row>
    <row r="22">
      <c r="A22" s="33" t="inlineStr">
        <is>
          <t>5 = 期待を大きく上回る  /  4 = 十分に満たす  /  3 = 標準的・条件付きで満たす  /  2 = 不足あり、対応策が必要  /  1 = 満たさない</t>
        </is>
      </c>
    </row>
    <row r="23">
      <c r="A23" s="6" t="inlineStr">
        <is>
          <t>Must 欄が「○」の項目で 2 以下が1つでもあると、総合点に関わらず「要再検討」と判定されます。</t>
        </is>
      </c>
    </row>
    <row r="24" ht="30" customHeight="1">
      <c r="A24" s="7" t="inlineStr">
        <is>
          <t>大分類</t>
        </is>
      </c>
      <c r="B24" s="7" t="inlineStr">
        <is>
          <t>No</t>
        </is>
      </c>
      <c r="C24" s="7" t="inlineStr">
        <is>
          <t>評価項目</t>
        </is>
      </c>
      <c r="D24" s="7" t="inlineStr">
        <is>
          <t>確認の観点(ここを見る)</t>
        </is>
      </c>
      <c r="E24" s="7" t="inlineStr">
        <is>
          <t>Must</t>
        </is>
      </c>
      <c r="F24" s="34">
        <f>IF(F8="","",F8)</f>
        <v/>
      </c>
      <c r="G24" s="34">
        <f>IF(G8="","",G8)</f>
        <v/>
      </c>
      <c r="H24" s="34">
        <f>IF(H8="","",H8)</f>
        <v/>
      </c>
      <c r="I24" s="34">
        <f>IF(I8="","",I8)</f>
        <v/>
      </c>
      <c r="J24" s="34" t="inlineStr">
        <is>
          <t>メモ・確認結果</t>
        </is>
      </c>
    </row>
    <row r="25" ht="34" customHeight="1">
      <c r="A25" s="35" t="inlineStr">
        <is>
          <t>機能適合</t>
        </is>
      </c>
      <c r="B25" s="26" t="n">
        <v>1</v>
      </c>
      <c r="C25" s="25" t="inlineStr">
        <is>
          <t>必須業務要件の充足度</t>
        </is>
      </c>
      <c r="D25" s="11" t="inlineStr">
        <is>
          <t>要件定義で「必須」と定めた項目を満たすか。カスタマイズ前提の回答は満たしたと数えない</t>
        </is>
      </c>
      <c r="E25" s="36" t="inlineStr">
        <is>
          <t>○</t>
        </is>
      </c>
      <c r="F25" s="22" t="n"/>
      <c r="G25" s="22" t="n"/>
      <c r="H25" s="22" t="n"/>
      <c r="I25" s="22" t="n"/>
      <c r="J25" s="28" t="n"/>
    </row>
    <row r="26" ht="34" customHeight="1">
      <c r="A26" s="37" t="inlineStr">
        <is>
          <t>機能適合</t>
        </is>
      </c>
      <c r="B26" s="12" t="n">
        <v>2</v>
      </c>
      <c r="C26" s="38" t="inlineStr">
        <is>
          <t>標準機能での充足率(カスタマイズ不要度)</t>
        </is>
      </c>
      <c r="D26" s="39" t="inlineStr">
        <is>
          <t>カスタマイズが増えるほど、バージョンアップ時の追加費用と改修リスクが上がる。「できます」の中身が標準か開発かを必ず分ける</t>
        </is>
      </c>
      <c r="E26" s="40" t="inlineStr">
        <is>
          <t>-</t>
        </is>
      </c>
      <c r="F26" s="22" t="n"/>
      <c r="G26" s="22" t="n"/>
      <c r="H26" s="22" t="n"/>
      <c r="I26" s="22" t="n"/>
      <c r="J26" s="41" t="n"/>
    </row>
    <row r="27" ht="34" customHeight="1">
      <c r="A27" s="35" t="inlineStr">
        <is>
          <t>機能適合</t>
        </is>
      </c>
      <c r="B27" s="26" t="n">
        <v>3</v>
      </c>
      <c r="C27" s="25" t="inlineStr">
        <is>
          <t>任意要件(あれば望ましい)の充足度</t>
        </is>
      </c>
      <c r="D27" s="11" t="inlineStr">
        <is>
          <t>必須要件と混ぜて評価しない。ここで差がついても足切りの理由にはしない</t>
        </is>
      </c>
      <c r="E27" s="42" t="inlineStr">
        <is>
          <t>-</t>
        </is>
      </c>
      <c r="F27" s="22" t="n"/>
      <c r="G27" s="22" t="n"/>
      <c r="H27" s="22" t="n"/>
      <c r="I27" s="22" t="n"/>
      <c r="J27" s="28" t="n"/>
    </row>
    <row r="28" ht="34" customHeight="1">
      <c r="A28" s="37" t="inlineStr">
        <is>
          <t>機能適合</t>
        </is>
      </c>
      <c r="B28" s="12" t="n">
        <v>4</v>
      </c>
      <c r="C28" s="38" t="inlineStr">
        <is>
          <t>現行業務フローとの整合</t>
        </is>
      </c>
      <c r="D28" s="39" t="inlineStr">
        <is>
          <t>業務をシステムに合わせる範囲を、事前に利用部門と合意できているか。合意なしの「運用でカバー」は後で必ず揉める</t>
        </is>
      </c>
      <c r="E28" s="40" t="inlineStr">
        <is>
          <t>-</t>
        </is>
      </c>
      <c r="F28" s="22" t="n"/>
      <c r="G28" s="22" t="n"/>
      <c r="H28" s="22" t="n"/>
      <c r="I28" s="22" t="n"/>
      <c r="J28" s="41" t="n"/>
    </row>
    <row r="29" ht="34" customHeight="1">
      <c r="A29" s="35" t="inlineStr">
        <is>
          <t>機能適合</t>
        </is>
      </c>
      <c r="B29" s="26" t="n">
        <v>5</v>
      </c>
      <c r="C29" s="25" t="inlineStr">
        <is>
          <t>画面・操作性(現場が実際に使えるか)</t>
        </is>
      </c>
      <c r="D29" s="11" t="inlineStr">
        <is>
          <t>情シスではなく利用部門にデモを触らせて評価する。1日100回使う画面の操作回数を数える</t>
        </is>
      </c>
      <c r="E29" s="42" t="inlineStr">
        <is>
          <t>-</t>
        </is>
      </c>
      <c r="F29" s="22" t="n"/>
      <c r="G29" s="22" t="n"/>
      <c r="H29" s="22" t="n"/>
      <c r="I29" s="22" t="n"/>
      <c r="J29" s="28" t="n"/>
    </row>
    <row r="30" ht="34" customHeight="1">
      <c r="A30" s="37" t="inlineStr">
        <is>
          <t>機能適合</t>
        </is>
      </c>
      <c r="B30" s="12" t="n">
        <v>6</v>
      </c>
      <c r="C30" s="38" t="inlineStr">
        <is>
          <t>帳票・出力の柔軟性</t>
        </is>
      </c>
      <c r="D30" s="39" t="inlineStr">
        <is>
          <t>帳票の追加・改変を自社でできるか、都度ベンダー依頼(有償)か。運用開始後に効いてくる</t>
        </is>
      </c>
      <c r="E30" s="40" t="inlineStr">
        <is>
          <t>-</t>
        </is>
      </c>
      <c r="F30" s="22" t="n"/>
      <c r="G30" s="22" t="n"/>
      <c r="H30" s="22" t="n"/>
      <c r="I30" s="22" t="n"/>
      <c r="J30" s="41" t="n"/>
    </row>
    <row r="31" ht="34" customHeight="1">
      <c r="A31" s="35" t="inlineStr">
        <is>
          <t>コスト</t>
        </is>
      </c>
      <c r="B31" s="26" t="n">
        <v>7</v>
      </c>
      <c r="C31" s="25" t="inlineStr">
        <is>
          <t>5年総額(TCO)の低さ ※費用入力から自動算出</t>
        </is>
      </c>
      <c r="D31" s="11" t="inlineStr">
        <is>
          <t>STEP2の費用入力から自動計算。最安社を5点として相対配点する。手入力しない</t>
        </is>
      </c>
      <c r="E31" s="42" t="inlineStr">
        <is>
          <t>-</t>
        </is>
      </c>
      <c r="F31" s="43">
        <f>IF(COUNT($F$18:$I$18)=0,"",IF(F$18="","",ROUND(MAX(1,MIN(5,5*MIN($F$18:$I$18)/F$18)),1)))</f>
        <v/>
      </c>
      <c r="G31" s="43">
        <f>IF(COUNT($F$18:$I$18)=0,"",IF(G$18="","",ROUND(MAX(1,MIN(5,5*MIN($F$18:$I$18)/G$18)),1)))</f>
        <v/>
      </c>
      <c r="H31" s="43">
        <f>IF(COUNT($F$18:$I$18)=0,"",IF(H$18="","",ROUND(MAX(1,MIN(5,5*MIN($F$18:$I$18)/H$18)),1)))</f>
        <v/>
      </c>
      <c r="I31" s="43">
        <f>IF(COUNT($F$18:$I$18)=0,"",IF(I$18="","",ROUND(MAX(1,MIN(5,5*MIN($F$18:$I$18)/I$18)),1)))</f>
        <v/>
      </c>
      <c r="J31" s="28" t="n"/>
    </row>
    <row r="32" ht="34" customHeight="1">
      <c r="A32" s="37" t="inlineStr">
        <is>
          <t>コスト</t>
        </is>
      </c>
      <c r="B32" s="12" t="n">
        <v>8</v>
      </c>
      <c r="C32" s="38" t="inlineStr">
        <is>
          <t>費用構造の透明性</t>
        </is>
      </c>
      <c r="D32" s="39" t="inlineStr">
        <is>
          <t>見積の内訳が項目ごとに分解されているか。「一式」表記が多いほど後から増える</t>
        </is>
      </c>
      <c r="E32" s="40" t="inlineStr">
        <is>
          <t>-</t>
        </is>
      </c>
      <c r="F32" s="22" t="n"/>
      <c r="G32" s="22" t="n"/>
      <c r="H32" s="22" t="n"/>
      <c r="I32" s="22" t="n"/>
      <c r="J32" s="41" t="n"/>
    </row>
    <row r="33" ht="34" customHeight="1">
      <c r="A33" s="35" t="inlineStr">
        <is>
          <t>コスト</t>
        </is>
      </c>
      <c r="B33" s="26" t="n">
        <v>9</v>
      </c>
      <c r="C33" s="25" t="inlineStr">
        <is>
          <t>追加費用の発生条件の明確さ</t>
        </is>
      </c>
      <c r="D33" s="11" t="inlineStr">
        <is>
          <t>利用者数の増加、法改正対応、バージョンアップ、問い合わせ超過。どこから課金かを文書で確認</t>
        </is>
      </c>
      <c r="E33" s="36" t="inlineStr">
        <is>
          <t>○</t>
        </is>
      </c>
      <c r="F33" s="22" t="n"/>
      <c r="G33" s="22" t="n"/>
      <c r="H33" s="22" t="n"/>
      <c r="I33" s="22" t="n"/>
      <c r="J33" s="28" t="n"/>
    </row>
    <row r="34" ht="34" customHeight="1">
      <c r="A34" s="37" t="inlineStr">
        <is>
          <t>コスト</t>
        </is>
      </c>
      <c r="B34" s="12" t="n">
        <v>10</v>
      </c>
      <c r="C34" s="38" t="inlineStr">
        <is>
          <t>支払条件・契約期間の柔軟性</t>
        </is>
      </c>
      <c r="D34" s="39" t="inlineStr">
        <is>
          <t>最低利用期間、途中解約時の扱い、値上げ時の通知条件。SaaSは特に確認</t>
        </is>
      </c>
      <c r="E34" s="40" t="inlineStr">
        <is>
          <t>-</t>
        </is>
      </c>
      <c r="F34" s="22" t="n"/>
      <c r="G34" s="22" t="n"/>
      <c r="H34" s="22" t="n"/>
      <c r="I34" s="22" t="n"/>
      <c r="J34" s="41" t="n"/>
    </row>
    <row r="35" ht="34" customHeight="1">
      <c r="A35" s="35" t="inlineStr">
        <is>
          <t>導入・移行負荷</t>
        </is>
      </c>
      <c r="B35" s="26" t="n">
        <v>11</v>
      </c>
      <c r="C35" s="25" t="inlineStr">
        <is>
          <t>データ移行の難易度と移行方式の妥当性</t>
        </is>
      </c>
      <c r="D35" s="11" t="inlineStr">
        <is>
          <t>移行対象の範囲、移行できないデータ、名寄せの要否。「移行は御社で」の線引きを明確に</t>
        </is>
      </c>
      <c r="E35" s="42" t="inlineStr">
        <is>
          <t>-</t>
        </is>
      </c>
      <c r="F35" s="22" t="n"/>
      <c r="G35" s="22" t="n"/>
      <c r="H35" s="22" t="n"/>
      <c r="I35" s="22" t="n"/>
      <c r="J35" s="28" t="n"/>
    </row>
    <row r="36" ht="34" customHeight="1">
      <c r="A36" s="37" t="inlineStr">
        <is>
          <t>導入・移行負荷</t>
        </is>
      </c>
      <c r="B36" s="12" t="n">
        <v>12</v>
      </c>
      <c r="C36" s="38" t="inlineStr">
        <is>
          <t>導入期間と自社の希望スケジュールの適合</t>
        </is>
      </c>
      <c r="D36" s="39" t="inlineStr">
        <is>
          <t>繁忙期・決算期を避けられるか。ベンダー側の要員確保時期も確認する</t>
        </is>
      </c>
      <c r="E36" s="40" t="inlineStr">
        <is>
          <t>-</t>
        </is>
      </c>
      <c r="F36" s="22" t="n"/>
      <c r="G36" s="22" t="n"/>
      <c r="H36" s="22" t="n"/>
      <c r="I36" s="22" t="n"/>
      <c r="J36" s="41" t="n"/>
    </row>
    <row r="37" ht="34" customHeight="1">
      <c r="A37" s="35" t="inlineStr">
        <is>
          <t>導入・移行負荷</t>
        </is>
      </c>
      <c r="B37" s="26" t="n">
        <v>13</v>
      </c>
      <c r="C37" s="25" t="inlineStr">
        <is>
          <t>自社側に必要な工数(人日)</t>
        </is>
      </c>
      <c r="D37" s="11" t="inlineStr">
        <is>
          <t>見積書に絶対に出てこない項目。要件確認、テスト、マスタ整備、現場調整。ここを聞かないと必ず溢れる</t>
        </is>
      </c>
      <c r="E37" s="36" t="inlineStr">
        <is>
          <t>○</t>
        </is>
      </c>
      <c r="F37" s="22" t="n"/>
      <c r="G37" s="22" t="n"/>
      <c r="H37" s="22" t="n"/>
      <c r="I37" s="22" t="n"/>
      <c r="J37" s="28" t="n"/>
    </row>
    <row r="38" ht="34" customHeight="1">
      <c r="A38" s="37" t="inlineStr">
        <is>
          <t>導入・移行負荷</t>
        </is>
      </c>
      <c r="B38" s="12" t="n">
        <v>14</v>
      </c>
      <c r="C38" s="38" t="inlineStr">
        <is>
          <t>現場教育・マニュアルの提供範囲</t>
        </is>
      </c>
      <c r="D38" s="39" t="inlineStr">
        <is>
          <t>研修が何回・何名まで無償か。マニュアルは自社編集可能な形式で提供されるか</t>
        </is>
      </c>
      <c r="E38" s="40" t="inlineStr">
        <is>
          <t>-</t>
        </is>
      </c>
      <c r="F38" s="22" t="n"/>
      <c r="G38" s="22" t="n"/>
      <c r="H38" s="22" t="n"/>
      <c r="I38" s="22" t="n"/>
      <c r="J38" s="41" t="n"/>
    </row>
    <row r="39" ht="34" customHeight="1">
      <c r="A39" s="35" t="inlineStr">
        <is>
          <t>導入・移行負荷</t>
        </is>
      </c>
      <c r="B39" s="26" t="n">
        <v>15</v>
      </c>
      <c r="C39" s="25" t="inlineStr">
        <is>
          <t>並行稼働・切替方式のリスク</t>
        </is>
      </c>
      <c r="D39" s="11" t="inlineStr">
        <is>
          <t>一斉切替か段階切替か。切り戻し(ロールバック)の条件と期限が決まっているか</t>
        </is>
      </c>
      <c r="E39" s="42" t="inlineStr">
        <is>
          <t>-</t>
        </is>
      </c>
      <c r="F39" s="22" t="n"/>
      <c r="G39" s="22" t="n"/>
      <c r="H39" s="22" t="n"/>
      <c r="I39" s="22" t="n"/>
      <c r="J39" s="28" t="n"/>
    </row>
    <row r="40" ht="34" customHeight="1">
      <c r="A40" s="37" t="inlineStr">
        <is>
          <t>サポート・保守</t>
        </is>
      </c>
      <c r="B40" s="12" t="n">
        <v>16</v>
      </c>
      <c r="C40" s="38" t="inlineStr">
        <is>
          <t>問い合わせ窓口と受付時間</t>
        </is>
      </c>
      <c r="D40" s="39" t="inlineStr">
        <is>
          <t>受付時間、手段(電話/メール/チャット)、専任か共通か。自社の稼働時間と合っているか</t>
        </is>
      </c>
      <c r="E40" s="40" t="inlineStr">
        <is>
          <t>-</t>
        </is>
      </c>
      <c r="F40" s="22" t="n"/>
      <c r="G40" s="22" t="n"/>
      <c r="H40" s="22" t="n"/>
      <c r="I40" s="22" t="n"/>
      <c r="J40" s="41" t="n"/>
    </row>
    <row r="41" ht="34" customHeight="1">
      <c r="A41" s="35" t="inlineStr">
        <is>
          <t>サポート・保守</t>
        </is>
      </c>
      <c r="B41" s="26" t="n">
        <v>17</v>
      </c>
      <c r="C41" s="25" t="inlineStr">
        <is>
          <t>障害時の対応基準(SLA)の明文化</t>
        </is>
      </c>
      <c r="D41" s="11" t="inlineStr">
        <is>
          <t>一次回答時間、復旧目標、稼働率。口頭ではなく契約書・SLA文書に書かれているかを確認</t>
        </is>
      </c>
      <c r="E41" s="36" t="inlineStr">
        <is>
          <t>○</t>
        </is>
      </c>
      <c r="F41" s="22" t="n"/>
      <c r="G41" s="22" t="n"/>
      <c r="H41" s="22" t="n"/>
      <c r="I41" s="22" t="n"/>
      <c r="J41" s="28" t="n"/>
    </row>
    <row r="42" ht="34" customHeight="1">
      <c r="A42" s="37" t="inlineStr">
        <is>
          <t>サポート・保守</t>
        </is>
      </c>
      <c r="B42" s="12" t="n">
        <v>18</v>
      </c>
      <c r="C42" s="38" t="inlineStr">
        <is>
          <t>保守契約の範囲(どこからが有償か)</t>
        </is>
      </c>
      <c r="D42" s="39" t="inlineStr">
        <is>
          <t>操作質問、設定変更、マスタ追加、障害調査、データ復旧。無償の線引きを必ず文書で取る</t>
        </is>
      </c>
      <c r="E42" s="44" t="inlineStr">
        <is>
          <t>○</t>
        </is>
      </c>
      <c r="F42" s="22" t="n"/>
      <c r="G42" s="22" t="n"/>
      <c r="H42" s="22" t="n"/>
      <c r="I42" s="22" t="n"/>
      <c r="J42" s="41" t="n"/>
    </row>
    <row r="43" ht="34" customHeight="1">
      <c r="A43" s="35" t="inlineStr">
        <is>
          <t>サポート・保守</t>
        </is>
      </c>
      <c r="B43" s="26" t="n">
        <v>19</v>
      </c>
      <c r="C43" s="25" t="inlineStr">
        <is>
          <t>担当者の業務理解度・体制</t>
        </is>
      </c>
      <c r="D43" s="11" t="inlineStr">
        <is>
          <t>担当が交代したときの引継ぎ方法。個人の力量に依存していないか</t>
        </is>
      </c>
      <c r="E43" s="42" t="inlineStr">
        <is>
          <t>-</t>
        </is>
      </c>
      <c r="F43" s="22" t="n"/>
      <c r="G43" s="22" t="n"/>
      <c r="H43" s="22" t="n"/>
      <c r="I43" s="22" t="n"/>
      <c r="J43" s="28" t="n"/>
    </row>
    <row r="44" ht="34" customHeight="1">
      <c r="A44" s="37" t="inlineStr">
        <is>
          <t>サポート・保守</t>
        </is>
      </c>
      <c r="B44" s="12" t="n">
        <v>20</v>
      </c>
      <c r="C44" s="38" t="inlineStr">
        <is>
          <t>定期報告・改善提案の有無</t>
        </is>
      </c>
      <c r="D44" s="39" t="inlineStr">
        <is>
          <t>稼働状況の定期報告があるか。売って終わりのベンダーかどうかがここで分かる</t>
        </is>
      </c>
      <c r="E44" s="40" t="inlineStr">
        <is>
          <t>-</t>
        </is>
      </c>
      <c r="F44" s="22" t="n"/>
      <c r="G44" s="22" t="n"/>
      <c r="H44" s="22" t="n"/>
      <c r="I44" s="22" t="n"/>
      <c r="J44" s="41" t="n"/>
    </row>
    <row r="45" ht="34" customHeight="1">
      <c r="A45" s="35" t="inlineStr">
        <is>
          <t>拡張性・将来性</t>
        </is>
      </c>
      <c r="B45" s="26" t="n">
        <v>21</v>
      </c>
      <c r="C45" s="25" t="inlineStr">
        <is>
          <t>他システムとの連携手段</t>
        </is>
      </c>
      <c r="D45" s="11" t="inlineStr">
        <is>
          <t>API の有無と仕様公開範囲、CSV連携の自動化可否。連携が有償開発のみなら将来コストが跳ねる</t>
        </is>
      </c>
      <c r="E45" s="42" t="inlineStr">
        <is>
          <t>-</t>
        </is>
      </c>
      <c r="F45" s="22" t="n"/>
      <c r="G45" s="22" t="n"/>
      <c r="H45" s="22" t="n"/>
      <c r="I45" s="22" t="n"/>
      <c r="J45" s="28" t="n"/>
    </row>
    <row r="46" ht="34" customHeight="1">
      <c r="A46" s="37" t="inlineStr">
        <is>
          <t>拡張性・将来性</t>
        </is>
      </c>
      <c r="B46" s="12" t="n">
        <v>22</v>
      </c>
      <c r="C46" s="38" t="inlineStr">
        <is>
          <t>データの持ち出し可否と形式</t>
        </is>
      </c>
      <c r="D46" s="39" t="inlineStr">
        <is>
          <t>解約時に自社データを機械可読形式で全件取り出せるか。契約書に明記されているか。ロックイン回避の要</t>
        </is>
      </c>
      <c r="E46" s="44" t="inlineStr">
        <is>
          <t>○</t>
        </is>
      </c>
      <c r="F46" s="22" t="n"/>
      <c r="G46" s="22" t="n"/>
      <c r="H46" s="22" t="n"/>
      <c r="I46" s="22" t="n"/>
      <c r="J46" s="41" t="n"/>
    </row>
    <row r="47" ht="34" customHeight="1">
      <c r="A47" s="35" t="inlineStr">
        <is>
          <t>拡張性・将来性</t>
        </is>
      </c>
      <c r="B47" s="26" t="n">
        <v>23</v>
      </c>
      <c r="C47" s="25" t="inlineStr">
        <is>
          <t>法改正・制度変更への対応実績と費用負担</t>
        </is>
      </c>
      <c r="D47" s="11" t="inlineStr">
        <is>
          <t>過去の改正でいつ対応したかを実績で聞く。対応が標準保守に含まれるか都度有償かを確認</t>
        </is>
      </c>
      <c r="E47" s="36" t="inlineStr">
        <is>
          <t>○</t>
        </is>
      </c>
      <c r="F47" s="22" t="n"/>
      <c r="G47" s="22" t="n"/>
      <c r="H47" s="22" t="n"/>
      <c r="I47" s="22" t="n"/>
      <c r="J47" s="28" t="n"/>
    </row>
    <row r="48" ht="34" customHeight="1">
      <c r="A48" s="37" t="inlineStr">
        <is>
          <t>拡張性・将来性</t>
        </is>
      </c>
      <c r="B48" s="12" t="n">
        <v>24</v>
      </c>
      <c r="C48" s="38" t="inlineStr">
        <is>
          <t>バージョンアップの提供形態と自社負担</t>
        </is>
      </c>
      <c r="D48" s="39" t="inlineStr">
        <is>
          <t>強制か任意か、費用と自社側の検証工数。カスタマイズ部分の改修費は誰が持つか</t>
        </is>
      </c>
      <c r="E48" s="40" t="inlineStr">
        <is>
          <t>-</t>
        </is>
      </c>
      <c r="F48" s="22" t="n"/>
      <c r="G48" s="22" t="n"/>
      <c r="H48" s="22" t="n"/>
      <c r="I48" s="22" t="n"/>
      <c r="J48" s="41" t="n"/>
    </row>
    <row r="49" ht="34" customHeight="1">
      <c r="A49" s="35" t="inlineStr">
        <is>
          <t>拡張性・将来性</t>
        </is>
      </c>
      <c r="B49" s="26" t="n">
        <v>25</v>
      </c>
      <c r="C49" s="25" t="inlineStr">
        <is>
          <t>利用者数・データ量の増加への対応</t>
        </is>
      </c>
      <c r="D49" s="11" t="inlineStr">
        <is>
          <t>増加時の課金体系と性能上限。5年後の想定規模で見積を取り直してもらう</t>
        </is>
      </c>
      <c r="E49" s="42" t="inlineStr">
        <is>
          <t>-</t>
        </is>
      </c>
      <c r="F49" s="22" t="n"/>
      <c r="G49" s="22" t="n"/>
      <c r="H49" s="22" t="n"/>
      <c r="I49" s="22" t="n"/>
      <c r="J49" s="28" t="n"/>
    </row>
    <row r="50" ht="34" customHeight="1">
      <c r="A50" s="37" t="inlineStr">
        <is>
          <t>ベンダー信頼性</t>
        </is>
      </c>
      <c r="B50" s="12" t="n">
        <v>26</v>
      </c>
      <c r="C50" s="38" t="inlineStr">
        <is>
          <t>同業種・同規模の導入実績</t>
        </is>
      </c>
      <c r="D50" s="39" t="inlineStr">
        <is>
          <t>業種と規模の両方が近い事例か。大企業の実績は中堅企業の保証にならない</t>
        </is>
      </c>
      <c r="E50" s="40" t="inlineStr">
        <is>
          <t>-</t>
        </is>
      </c>
      <c r="F50" s="22" t="n"/>
      <c r="G50" s="22" t="n"/>
      <c r="H50" s="22" t="n"/>
      <c r="I50" s="22" t="n"/>
      <c r="J50" s="41" t="n"/>
    </row>
    <row r="51" ht="34" customHeight="1">
      <c r="A51" s="35" t="inlineStr">
        <is>
          <t>ベンダー信頼性</t>
        </is>
      </c>
      <c r="B51" s="26" t="n">
        <v>27</v>
      </c>
      <c r="C51" s="25" t="inlineStr">
        <is>
          <t>提案内容の的確さ</t>
        </is>
      </c>
      <c r="D51" s="11" t="inlineStr">
        <is>
          <t>こちらの業務を理解した提案か、汎用資料の流用か。ヒアリング内容が提案に反映されているかで判別できる</t>
        </is>
      </c>
      <c r="E51" s="42" t="inlineStr">
        <is>
          <t>-</t>
        </is>
      </c>
      <c r="F51" s="22" t="n"/>
      <c r="G51" s="22" t="n"/>
      <c r="H51" s="22" t="n"/>
      <c r="I51" s="22" t="n"/>
      <c r="J51" s="28" t="n"/>
    </row>
    <row r="52" ht="34" customHeight="1">
      <c r="A52" s="37" t="inlineStr">
        <is>
          <t>ベンダー信頼性</t>
        </is>
      </c>
      <c r="B52" s="12" t="n">
        <v>28</v>
      </c>
      <c r="C52" s="38" t="inlineStr">
        <is>
          <t>経営の安定性・事業継続性</t>
        </is>
      </c>
      <c r="D52" s="39" t="inlineStr">
        <is>
          <t>5年以上使う前提。当該製品の開発継続方針とサポート終了(EOL)方針を確認</t>
        </is>
      </c>
      <c r="E52" s="40" t="inlineStr">
        <is>
          <t>-</t>
        </is>
      </c>
      <c r="F52" s="22" t="n"/>
      <c r="G52" s="22" t="n"/>
      <c r="H52" s="22" t="n"/>
      <c r="I52" s="22" t="n"/>
      <c r="J52" s="41" t="n"/>
    </row>
    <row r="53" ht="34" customHeight="1">
      <c r="A53" s="35" t="inlineStr">
        <is>
          <t>ベンダー信頼性</t>
        </is>
      </c>
      <c r="B53" s="26" t="n">
        <v>29</v>
      </c>
      <c r="C53" s="25" t="inlineStr">
        <is>
          <t>参考顧客への訪問・ヒアリング可否</t>
        </is>
      </c>
      <c r="D53" s="11" t="inlineStr">
        <is>
          <t>断られる場合は理由を聞く。応じるベンダーは自信がある。実際に聞けると判断精度が跳ね上がる</t>
        </is>
      </c>
      <c r="E53" s="42" t="inlineStr">
        <is>
          <t>-</t>
        </is>
      </c>
      <c r="F53" s="22" t="n"/>
      <c r="G53" s="22" t="n"/>
      <c r="H53" s="22" t="n"/>
      <c r="I53" s="22" t="n"/>
      <c r="J53" s="28" t="n"/>
    </row>
    <row r="55">
      <c r="A55" s="21" t="inlineStr">
        <is>
          <t>■ 集計結果(順位・チャート・稟議文面は 03_稟議用サマリ へ)</t>
        </is>
      </c>
    </row>
    <row r="56">
      <c r="C56" s="29" t="inlineStr">
        <is>
          <t>Must判定</t>
        </is>
      </c>
      <c r="F56" s="45">
        <f>IF(COUNT(F25:F53)=0,"未評価",IF(SUMPRODUCT(($E$25:$E$53="○")*(F$25:F$53&lt;3)*(F$25:F$53&gt;0))&gt;0,"要再検討","合格"))</f>
        <v/>
      </c>
      <c r="G56" s="45">
        <f>IF(COUNT(G25:G53)=0,"未評価",IF(SUMPRODUCT(($E$25:$E$53="○")*(G$25:G$53&lt;3)*(G$25:G$53&gt;0))&gt;0,"要再検討","合格"))</f>
        <v/>
      </c>
      <c r="H56" s="45">
        <f>IF(COUNT(H25:H53)=0,"未評価",IF(SUMPRODUCT(($E$25:$E$53="○")*(H$25:H$53&lt;3)*(H$25:H$53&gt;0))&gt;0,"要再検討","合格"))</f>
        <v/>
      </c>
      <c r="I56" s="45">
        <f>IF(COUNT(I25:I53)=0,"未評価",IF(SUMPRODUCT(($E$25:$E$53="○")*(I$25:I$53&lt;3)*(I$25:I$53&gt;0))&gt;0,"要再検討","合格"))</f>
        <v/>
      </c>
    </row>
    <row r="57">
      <c r="C57" s="29" t="inlineStr">
        <is>
          <t>加重総合点(100点満点)</t>
        </is>
      </c>
      <c r="F57" s="43">
        <f>IF(COUNT(F25:F53)=0,"",SUMPRODUCT($D$60:$D$65,F$60:F$65)/100/5*100)</f>
        <v/>
      </c>
      <c r="G57" s="43">
        <f>IF(COUNT(G25:G53)=0,"",SUMPRODUCT($D$60:$D$65,G$60:G$65)/100/5*100)</f>
        <v/>
      </c>
      <c r="H57" s="43">
        <f>IF(COUNT(H25:H53)=0,"",SUMPRODUCT($D$60:$D$65,H$60:H$65)/100/5*100)</f>
        <v/>
      </c>
      <c r="I57" s="43">
        <f>IF(COUNT(I25:I53)=0,"",SUMPRODUCT($D$60:$D$65,I$60:I$65)/100/5*100)</f>
        <v/>
      </c>
    </row>
    <row r="58">
      <c r="C58" s="29" t="inlineStr">
        <is>
          <t>5年総額(TCO)</t>
        </is>
      </c>
      <c r="F58" s="46">
        <f>F18</f>
        <v/>
      </c>
      <c r="G58" s="46">
        <f>G18</f>
        <v/>
      </c>
      <c r="H58" s="46">
        <f>H18</f>
        <v/>
      </c>
      <c r="I58" s="46">
        <f>I18</f>
        <v/>
      </c>
    </row>
    <row r="59">
      <c r="C59" s="47" t="inlineStr">
        <is>
          <t>大分類別スコア(5点満点)  ※自動計算</t>
        </is>
      </c>
    </row>
    <row r="60">
      <c r="C60" s="48" t="inlineStr">
        <is>
          <t>機能適合</t>
        </is>
      </c>
      <c r="D60" s="49">
        <f>'01_重み付け設定'!C5</f>
        <v/>
      </c>
      <c r="F60" s="50">
        <f>IFERROR(AVERAGEIFS(F$25:F$53,$A$25:$A$53,$C60),0)</f>
        <v/>
      </c>
      <c r="G60" s="50">
        <f>IFERROR(AVERAGEIFS(G$25:G$53,$A$25:$A$53,$C60),0)</f>
        <v/>
      </c>
      <c r="H60" s="50">
        <f>IFERROR(AVERAGEIFS(H$25:H$53,$A$25:$A$53,$C60),0)</f>
        <v/>
      </c>
      <c r="I60" s="50">
        <f>IFERROR(AVERAGEIFS(I$25:I$53,$A$25:$A$53,$C60),0)</f>
        <v/>
      </c>
    </row>
    <row r="61">
      <c r="C61" s="48" t="inlineStr">
        <is>
          <t>コスト</t>
        </is>
      </c>
      <c r="D61" s="49">
        <f>'01_重み付け設定'!C6</f>
        <v/>
      </c>
      <c r="F61" s="50">
        <f>IFERROR(AVERAGEIFS(F$25:F$53,$A$25:$A$53,$C61),0)</f>
        <v/>
      </c>
      <c r="G61" s="50">
        <f>IFERROR(AVERAGEIFS(G$25:G$53,$A$25:$A$53,$C61),0)</f>
        <v/>
      </c>
      <c r="H61" s="50">
        <f>IFERROR(AVERAGEIFS(H$25:H$53,$A$25:$A$53,$C61),0)</f>
        <v/>
      </c>
      <c r="I61" s="50">
        <f>IFERROR(AVERAGEIFS(I$25:I$53,$A$25:$A$53,$C61),0)</f>
        <v/>
      </c>
    </row>
    <row r="62">
      <c r="C62" s="48" t="inlineStr">
        <is>
          <t>導入・移行負荷</t>
        </is>
      </c>
      <c r="D62" s="49">
        <f>'01_重み付け設定'!C7</f>
        <v/>
      </c>
      <c r="F62" s="50">
        <f>IFERROR(AVERAGEIFS(F$25:F$53,$A$25:$A$53,$C62),0)</f>
        <v/>
      </c>
      <c r="G62" s="50">
        <f>IFERROR(AVERAGEIFS(G$25:G$53,$A$25:$A$53,$C62),0)</f>
        <v/>
      </c>
      <c r="H62" s="50">
        <f>IFERROR(AVERAGEIFS(H$25:H$53,$A$25:$A$53,$C62),0)</f>
        <v/>
      </c>
      <c r="I62" s="50">
        <f>IFERROR(AVERAGEIFS(I$25:I$53,$A$25:$A$53,$C62),0)</f>
        <v/>
      </c>
    </row>
    <row r="63">
      <c r="C63" s="48" t="inlineStr">
        <is>
          <t>サポート・保守</t>
        </is>
      </c>
      <c r="D63" s="49">
        <f>'01_重み付け設定'!C8</f>
        <v/>
      </c>
      <c r="F63" s="50">
        <f>IFERROR(AVERAGEIFS(F$25:F$53,$A$25:$A$53,$C63),0)</f>
        <v/>
      </c>
      <c r="G63" s="50">
        <f>IFERROR(AVERAGEIFS(G$25:G$53,$A$25:$A$53,$C63),0)</f>
        <v/>
      </c>
      <c r="H63" s="50">
        <f>IFERROR(AVERAGEIFS(H$25:H$53,$A$25:$A$53,$C63),0)</f>
        <v/>
      </c>
      <c r="I63" s="50">
        <f>IFERROR(AVERAGEIFS(I$25:I$53,$A$25:$A$53,$C63),0)</f>
        <v/>
      </c>
    </row>
    <row r="64">
      <c r="C64" s="48" t="inlineStr">
        <is>
          <t>拡張性・将来性</t>
        </is>
      </c>
      <c r="D64" s="49">
        <f>'01_重み付け設定'!C9</f>
        <v/>
      </c>
      <c r="F64" s="50">
        <f>IFERROR(AVERAGEIFS(F$25:F$53,$A$25:$A$53,$C64),0)</f>
        <v/>
      </c>
      <c r="G64" s="50">
        <f>IFERROR(AVERAGEIFS(G$25:G$53,$A$25:$A$53,$C64),0)</f>
        <v/>
      </c>
      <c r="H64" s="50">
        <f>IFERROR(AVERAGEIFS(H$25:H$53,$A$25:$A$53,$C64),0)</f>
        <v/>
      </c>
      <c r="I64" s="50">
        <f>IFERROR(AVERAGEIFS(I$25:I$53,$A$25:$A$53,$C64),0)</f>
        <v/>
      </c>
    </row>
    <row r="65">
      <c r="C65" s="48" t="inlineStr">
        <is>
          <t>ベンダー信頼性</t>
        </is>
      </c>
      <c r="D65" s="49">
        <f>'01_重み付け設定'!C10</f>
        <v/>
      </c>
      <c r="F65" s="50">
        <f>IFERROR(AVERAGEIFS(F$25:F$53,$A$25:$A$53,$C65),0)</f>
        <v/>
      </c>
      <c r="G65" s="50">
        <f>IFERROR(AVERAGEIFS(G$25:G$53,$A$25:$A$53,$C65),0)</f>
        <v/>
      </c>
      <c r="H65" s="50">
        <f>IFERROR(AVERAGEIFS(H$25:H$53,$A$25:$A$53,$C65),0)</f>
        <v/>
      </c>
      <c r="I65" s="50">
        <f>IFERROR(AVERAGEIFS(I$25:I$53,$A$25:$A$53,$C65),0)</f>
        <v/>
      </c>
    </row>
  </sheetData>
  <mergeCells count="9">
    <mergeCell ref="A1:J1"/>
    <mergeCell ref="B4:E4"/>
    <mergeCell ref="A21:J21"/>
    <mergeCell ref="A55:J55"/>
    <mergeCell ref="A7:J7"/>
    <mergeCell ref="B3:E3"/>
    <mergeCell ref="B5:E5"/>
    <mergeCell ref="A8:E8"/>
    <mergeCell ref="A10:J10"/>
  </mergeCells>
  <dataValidations count="1">
    <dataValidation sqref="F25:I30 F32:I53" showDropDown="0" showInputMessage="0" showErrorMessage="1" allowBlank="1" errorTitle="入力エラー" error="1〜5 の整数で入力してください。" type="list">
      <formula1>"1,2,3,4,5"</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55"/>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 customWidth="1" min="1" max="1"/>
    <col width="5" customWidth="1" min="2" max="2"/>
    <col width="20" customWidth="1" min="3" max="3"/>
    <col width="12" customWidth="1" min="4" max="4"/>
    <col width="18" customWidth="1" min="5" max="5"/>
    <col width="10" customWidth="1" min="6" max="6"/>
    <col width="14" customWidth="1" min="7" max="7"/>
    <col width="16" customWidth="1" min="8" max="8"/>
    <col width="10" customWidth="1" min="9" max="9"/>
    <col width="3" customWidth="1" min="10" max="10"/>
    <col width="3" customWidth="1" min="11" max="11"/>
    <col width="12" customWidth="1" min="12" max="12"/>
  </cols>
  <sheetData>
    <row r="1" ht="26" customHeight="1">
      <c r="A1" s="1" t="inlineStr">
        <is>
          <t>STEP 4  稟議用サマリ</t>
        </is>
      </c>
    </row>
    <row r="2">
      <c r="B2" s="19" t="inlineStr">
        <is>
          <t>案件名:</t>
        </is>
      </c>
      <c r="C2" s="51">
        <f>'02_比較評価シート'!B3</f>
        <v/>
      </c>
    </row>
    <row r="4">
      <c r="B4" s="21" t="inlineStr">
        <is>
          <t>■ 総合評価</t>
        </is>
      </c>
    </row>
    <row r="5" ht="32" customHeight="1">
      <c r="B5" s="7" t="inlineStr">
        <is>
          <t>#</t>
        </is>
      </c>
      <c r="C5" s="7" t="inlineStr">
        <is>
          <t>ベンダー</t>
        </is>
      </c>
      <c r="D5" s="7" t="inlineStr">
        <is>
          <t>Must判定</t>
        </is>
      </c>
      <c r="E5" s="7" t="inlineStr">
        <is>
          <t>加重総合点(100点)</t>
        </is>
      </c>
      <c r="F5" s="7" t="inlineStr">
        <is>
          <t>点数順位</t>
        </is>
      </c>
      <c r="G5" s="7" t="inlineStr">
        <is>
          <t>選定候補順位</t>
        </is>
      </c>
      <c r="H5" s="7" t="inlineStr">
        <is>
          <t>5年総額(円)</t>
        </is>
      </c>
      <c r="I5" s="7" t="inlineStr">
        <is>
          <t>TCO順位</t>
        </is>
      </c>
      <c r="L5" s="52" t="inlineStr">
        <is>
          <t>(補助列)</t>
        </is>
      </c>
    </row>
    <row r="6">
      <c r="B6" s="26" t="n">
        <v>1</v>
      </c>
      <c r="C6" s="9">
        <f>IF('02_比較評価シート'!F8="","",'02_比較評価シート'!F8)</f>
        <v/>
      </c>
      <c r="D6" s="53">
        <f>'02_比較評価シート'!F56</f>
        <v/>
      </c>
      <c r="E6" s="54">
        <f>IF(SUM($D$13:$D$18)=0,"",SUMPRODUCT($C$13:$C$18,D$13:D$18)/100/5*100)</f>
        <v/>
      </c>
      <c r="F6" s="55">
        <f>IF($E6="","-",RANK($E6,$E$6:$E$9,0))</f>
        <v/>
      </c>
      <c r="G6" s="53">
        <f>IF($L6="","-",RANK($L6,$L$6:$L$9,0))</f>
        <v/>
      </c>
      <c r="H6" s="56">
        <f>'02_比較評価シート'!F18</f>
        <v/>
      </c>
      <c r="I6" s="55">
        <f>IF(ISNUMBER($H6),RANK($H6,$H$6:$H$9,1),"-")</f>
        <v/>
      </c>
      <c r="L6" s="57">
        <f>IF(AND($D6="合格",ISNUMBER($E6)),$E6,"")</f>
        <v/>
      </c>
    </row>
    <row r="7">
      <c r="B7" s="26" t="n">
        <v>2</v>
      </c>
      <c r="C7" s="9">
        <f>IF('02_比較評価シート'!G8="","",'02_比較評価シート'!G8)</f>
        <v/>
      </c>
      <c r="D7" s="53">
        <f>'02_比較評価シート'!G56</f>
        <v/>
      </c>
      <c r="E7" s="54">
        <f>IF(SUM($E$13:$E$18)=0,"",SUMPRODUCT($C$13:$C$18,E$13:E$18)/100/5*100)</f>
        <v/>
      </c>
      <c r="F7" s="55">
        <f>IF($E7="","-",RANK($E7,$E$6:$E$9,0))</f>
        <v/>
      </c>
      <c r="G7" s="53">
        <f>IF($L7="","-",RANK($L7,$L$6:$L$9,0))</f>
        <v/>
      </c>
      <c r="H7" s="56">
        <f>'02_比較評価シート'!G18</f>
        <v/>
      </c>
      <c r="I7" s="55">
        <f>IF(ISNUMBER($H7),RANK($H7,$H$6:$H$9,1),"-")</f>
        <v/>
      </c>
      <c r="L7" s="57">
        <f>IF(AND($D7="合格",ISNUMBER($E7)),$E7,"")</f>
        <v/>
      </c>
    </row>
    <row r="8">
      <c r="B8" s="26" t="n">
        <v>3</v>
      </c>
      <c r="C8" s="9">
        <f>IF('02_比較評価シート'!H8="","",'02_比較評価シート'!H8)</f>
        <v/>
      </c>
      <c r="D8" s="53">
        <f>'02_比較評価シート'!H56</f>
        <v/>
      </c>
      <c r="E8" s="54">
        <f>IF(SUM($F$13:$F$18)=0,"",SUMPRODUCT($C$13:$C$18,F$13:F$18)/100/5*100)</f>
        <v/>
      </c>
      <c r="F8" s="55">
        <f>IF($E8="","-",RANK($E8,$E$6:$E$9,0))</f>
        <v/>
      </c>
      <c r="G8" s="53">
        <f>IF($L8="","-",RANK($L8,$L$6:$L$9,0))</f>
        <v/>
      </c>
      <c r="H8" s="56">
        <f>'02_比較評価シート'!H18</f>
        <v/>
      </c>
      <c r="I8" s="55">
        <f>IF(ISNUMBER($H8),RANK($H8,$H$6:$H$9,1),"-")</f>
        <v/>
      </c>
      <c r="L8" s="57">
        <f>IF(AND($D8="合格",ISNUMBER($E8)),$E8,"")</f>
        <v/>
      </c>
    </row>
    <row r="9">
      <c r="B9" s="26" t="n">
        <v>4</v>
      </c>
      <c r="C9" s="9">
        <f>IF('02_比較評価シート'!I8="","",'02_比較評価シート'!I8)</f>
        <v/>
      </c>
      <c r="D9" s="53">
        <f>'02_比較評価シート'!I56</f>
        <v/>
      </c>
      <c r="E9" s="54">
        <f>IF(SUM($G$13:$G$18)=0,"",SUMPRODUCT($C$13:$C$18,G$13:G$18)/100/5*100)</f>
        <v/>
      </c>
      <c r="F9" s="55">
        <f>IF($E9="","-",RANK($E9,$E$6:$E$9,0))</f>
        <v/>
      </c>
      <c r="G9" s="53">
        <f>IF($L9="","-",RANK($L9,$L$6:$L$9,0))</f>
        <v/>
      </c>
      <c r="H9" s="56">
        <f>'02_比較評価シート'!I18</f>
        <v/>
      </c>
      <c r="I9" s="55">
        <f>IF(ISNUMBER($H9),RANK($H9,$H$6:$H$9,1),"-")</f>
        <v/>
      </c>
      <c r="L9" s="57">
        <f>IF(AND($D9="合格",ISNUMBER($E9)),$E9,"")</f>
        <v/>
      </c>
    </row>
    <row r="10">
      <c r="B10" s="6" t="inlineStr">
        <is>
          <t>※「選定候補順位」は Must判定が「合格」のベンダーのみを対象にした順位です。点数順位と食い違う場合、見るべきはこちらです。</t>
        </is>
      </c>
    </row>
    <row r="11">
      <c r="B11" s="21" t="inlineStr">
        <is>
          <t>■ 大分類別スコア(5点満点)</t>
        </is>
      </c>
    </row>
    <row r="12">
      <c r="B12" s="34" t="inlineStr">
        <is>
          <t>大分類</t>
        </is>
      </c>
      <c r="C12" s="34" t="inlineStr">
        <is>
          <t>重み(%)</t>
        </is>
      </c>
      <c r="D12" s="34">
        <f>IF('02_比較評価シート'!F8="","",'02_比較評価シート'!F8)</f>
        <v/>
      </c>
      <c r="E12" s="34">
        <f>IF('02_比較評価シート'!G8="","",'02_比較評価シート'!G8)</f>
        <v/>
      </c>
      <c r="F12" s="34">
        <f>IF('02_比較評価シート'!H8="","",'02_比較評価シート'!H8)</f>
        <v/>
      </c>
      <c r="G12" s="34">
        <f>IF('02_比較評価シート'!I8="","",'02_比較評価シート'!I8)</f>
        <v/>
      </c>
    </row>
    <row r="13">
      <c r="B13" s="58">
        <f>'01_重み付け設定'!B5</f>
        <v/>
      </c>
      <c r="C13" s="59">
        <f>'01_重み付け設定'!C5</f>
        <v/>
      </c>
      <c r="D13" s="60">
        <f>'02_比較評価シート'!F60</f>
        <v/>
      </c>
      <c r="E13" s="60">
        <f>'02_比較評価シート'!G60</f>
        <v/>
      </c>
      <c r="F13" s="60">
        <f>'02_比較評価シート'!H60</f>
        <v/>
      </c>
      <c r="G13" s="60">
        <f>'02_比較評価シート'!I60</f>
        <v/>
      </c>
    </row>
    <row r="14">
      <c r="B14" s="58">
        <f>'01_重み付け設定'!B6</f>
        <v/>
      </c>
      <c r="C14" s="59">
        <f>'01_重み付け設定'!C6</f>
        <v/>
      </c>
      <c r="D14" s="60">
        <f>'02_比較評価シート'!F61</f>
        <v/>
      </c>
      <c r="E14" s="60">
        <f>'02_比較評価シート'!G61</f>
        <v/>
      </c>
      <c r="F14" s="60">
        <f>'02_比較評価シート'!H61</f>
        <v/>
      </c>
      <c r="G14" s="60">
        <f>'02_比較評価シート'!I61</f>
        <v/>
      </c>
    </row>
    <row r="15">
      <c r="B15" s="58">
        <f>'01_重み付け設定'!B7</f>
        <v/>
      </c>
      <c r="C15" s="59">
        <f>'01_重み付け設定'!C7</f>
        <v/>
      </c>
      <c r="D15" s="60">
        <f>'02_比較評価シート'!F62</f>
        <v/>
      </c>
      <c r="E15" s="60">
        <f>'02_比較評価シート'!G62</f>
        <v/>
      </c>
      <c r="F15" s="60">
        <f>'02_比較評価シート'!H62</f>
        <v/>
      </c>
      <c r="G15" s="60">
        <f>'02_比較評価シート'!I62</f>
        <v/>
      </c>
    </row>
    <row r="16">
      <c r="B16" s="58">
        <f>'01_重み付け設定'!B8</f>
        <v/>
      </c>
      <c r="C16" s="59">
        <f>'01_重み付け設定'!C8</f>
        <v/>
      </c>
      <c r="D16" s="60">
        <f>'02_比較評価シート'!F63</f>
        <v/>
      </c>
      <c r="E16" s="60">
        <f>'02_比較評価シート'!G63</f>
        <v/>
      </c>
      <c r="F16" s="60">
        <f>'02_比較評価シート'!H63</f>
        <v/>
      </c>
      <c r="G16" s="60">
        <f>'02_比較評価シート'!I63</f>
        <v/>
      </c>
    </row>
    <row r="17">
      <c r="B17" s="58">
        <f>'01_重み付け設定'!B9</f>
        <v/>
      </c>
      <c r="C17" s="59">
        <f>'01_重み付け設定'!C9</f>
        <v/>
      </c>
      <c r="D17" s="60">
        <f>'02_比較評価シート'!F64</f>
        <v/>
      </c>
      <c r="E17" s="60">
        <f>'02_比較評価シート'!G64</f>
        <v/>
      </c>
      <c r="F17" s="60">
        <f>'02_比較評価シート'!H64</f>
        <v/>
      </c>
      <c r="G17" s="60">
        <f>'02_比較評価シート'!I64</f>
        <v/>
      </c>
    </row>
    <row r="18">
      <c r="B18" s="58">
        <f>'01_重み付け設定'!B10</f>
        <v/>
      </c>
      <c r="C18" s="59">
        <f>'01_重み付け設定'!C10</f>
        <v/>
      </c>
      <c r="D18" s="60">
        <f>'02_比較評価シート'!F65</f>
        <v/>
      </c>
      <c r="E18" s="60">
        <f>'02_比較評価シート'!G65</f>
        <v/>
      </c>
      <c r="F18" s="60">
        <f>'02_比較評価シート'!H65</f>
        <v/>
      </c>
      <c r="G18" s="60">
        <f>'02_比較評価シート'!I65</f>
        <v/>
      </c>
    </row>
    <row r="42">
      <c r="B42" s="21" t="inlineStr">
        <is>
          <t>■ 稟議記載用のたたき台(空欄を埋めて転記してください)</t>
        </is>
      </c>
    </row>
    <row r="43">
      <c r="B43" s="61" t="inlineStr">
        <is>
          <t>【選定結果】</t>
        </is>
      </c>
    </row>
    <row r="44" ht="18" customHeight="1">
      <c r="C44" s="3">
        <f>"評価の結果、"&amp;IFERROR(INDEX($C$6:$C$9,MATCH(1,$G$6:$G$9,0)),"(未評価)")&amp;" を選定候補とする。"</f>
        <v/>
      </c>
    </row>
    <row r="45">
      <c r="B45" s="61" t="inlineStr">
        <is>
          <t>【選定理由】</t>
        </is>
      </c>
    </row>
    <row r="46" ht="18" customHeight="1">
      <c r="C46" s="3">
        <f>"1. 必須要件(Must項目)をすべて満たしていることを確認した。"</f>
        <v/>
      </c>
    </row>
    <row r="47" ht="18" customHeight="1">
      <c r="C47" s="3">
        <f>"2. 6つの評価軸に重み付けを行った加重評価で "&amp;IFERROR(TEXT(INDEX($E$6:$E$9,MATCH(1,$G$6:$G$9,0)),"0.0"),"-")&amp;" 点(100点満点)を獲得し、Must合格社の中で最上位である。"</f>
        <v/>
      </c>
    </row>
    <row r="48" ht="18" customHeight="1">
      <c r="C48" s="3">
        <f>"3. 5年総額(TCO)は "&amp;IFERROR(TEXT(INDEX($H$6:$H$9,MATCH(1,$G$6:$G$9,0)),"#,##0"),"-")&amp;" 円(税抜)。"</f>
        <v/>
      </c>
    </row>
    <row r="49" ht="18" customHeight="1">
      <c r="C49" s="3">
        <f>"4. (定性的な理由をここに追記)"</f>
        <v/>
      </c>
    </row>
    <row r="50">
      <c r="B50" s="61" t="inlineStr">
        <is>
          <t>【他社を選定しなかった理由】</t>
        </is>
      </c>
    </row>
    <row r="51" ht="18" customHeight="1">
      <c r="C51" s="62" t="inlineStr">
        <is>
          <t>(ここに記入。落選各社について1〜2行ずつ、決め手となった項目名を挙げて書くと通りやすい)</t>
        </is>
      </c>
    </row>
    <row r="52">
      <c r="B52" s="61" t="inlineStr">
        <is>
          <t>【想定リスクと対応】</t>
        </is>
      </c>
    </row>
    <row r="53" ht="18" customHeight="1">
      <c r="C53" s="62" t="inlineStr">
        <is>
          <t>(ここに記入。評価で 2 以下をつけた項目が、そのままリスク欄の材料になります)</t>
        </is>
      </c>
    </row>
    <row r="54">
      <c r="B54" s="61" t="inlineStr">
        <is>
          <t>【比較検討の経緯】</t>
        </is>
      </c>
    </row>
    <row r="55" ht="18" customHeight="1">
      <c r="C55" s="62" t="inlineStr">
        <is>
          <t>(ここに記入。ベンダー選定の母数、RFP提示日、提案受領日、デモ実施日などを時系列で)</t>
        </is>
      </c>
    </row>
  </sheetData>
  <mergeCells count="12">
    <mergeCell ref="C53:I53"/>
    <mergeCell ref="C44:I44"/>
    <mergeCell ref="C48:I48"/>
    <mergeCell ref="B11:I11"/>
    <mergeCell ref="C49:I49"/>
    <mergeCell ref="A1:I1"/>
    <mergeCell ref="B42:I42"/>
    <mergeCell ref="C46:I46"/>
    <mergeCell ref="C47:I47"/>
    <mergeCell ref="C51:I51"/>
    <mergeCell ref="B4:I4"/>
    <mergeCell ref="C55:I55"/>
  </mergeCell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J73"/>
  <sheetViews>
    <sheetView showGridLines="0" workbookViewId="0">
      <pane xSplit="2" ySplit="24" topLeftCell="C25" activePane="bottomRight" state="frozen"/>
      <selection pane="topRight"/>
      <selection pane="bottomLeft"/>
      <selection pane="bottomRight" activeCell="A1" sqref="A1"/>
    </sheetView>
  </sheetViews>
  <sheetFormatPr baseColWidth="8" defaultRowHeight="15"/>
  <cols>
    <col width="14" customWidth="1" min="1" max="1"/>
    <col width="5" customWidth="1" min="2" max="2"/>
    <col width="34" customWidth="1" min="3" max="3"/>
    <col width="52" customWidth="1" min="4" max="4"/>
    <col width="6" customWidth="1" min="5" max="5"/>
    <col width="13" customWidth="1" min="6" max="6"/>
    <col width="13" customWidth="1" min="7" max="7"/>
    <col width="13" customWidth="1" min="8" max="8"/>
    <col width="13" customWidth="1" min="9" max="9"/>
    <col width="40" customWidth="1" min="10" max="10"/>
  </cols>
  <sheetData>
    <row r="1" ht="26" customHeight="1">
      <c r="A1" s="1" t="inlineStr">
        <is>
          <t>【記入例】業務システム調達 ベンダー比較評価シート</t>
        </is>
      </c>
    </row>
    <row r="2">
      <c r="A2" s="63" t="inlineStr">
        <is>
          <t>※ 架空案件の記入例です。実際の評価には 02_比較評価シート を使ってください。</t>
        </is>
      </c>
    </row>
    <row r="3">
      <c r="A3" s="19" t="inlineStr">
        <is>
          <t>案件名</t>
        </is>
      </c>
      <c r="B3" s="64" t="inlineStr">
        <is>
          <t>販売管理システム刷新(製造業・社員120名)</t>
        </is>
      </c>
    </row>
    <row r="4">
      <c r="A4" s="19" t="inlineStr">
        <is>
          <t>評価者</t>
        </is>
      </c>
      <c r="B4" s="64" t="inlineStr">
        <is>
          <t>情報システム課 ◯◯</t>
        </is>
      </c>
    </row>
    <row r="5">
      <c r="A5" s="19" t="inlineStr">
        <is>
          <t>評価日</t>
        </is>
      </c>
      <c r="B5" s="64" t="inlineStr">
        <is>
          <t>2026-06-15</t>
        </is>
      </c>
    </row>
    <row r="7">
      <c r="A7" s="21" t="inlineStr">
        <is>
          <t>■ STEP1  比較するベンダー名を入力する(最大4社)</t>
        </is>
      </c>
    </row>
    <row r="8">
      <c r="A8" s="19" t="inlineStr">
        <is>
          <t>ベンダー名 →</t>
        </is>
      </c>
      <c r="F8" s="53" t="inlineStr">
        <is>
          <t>A社(大手パッケージ)</t>
        </is>
      </c>
      <c r="G8" s="53" t="inlineStr">
        <is>
          <t>B社(中堅SaaS)</t>
        </is>
      </c>
      <c r="H8" s="53" t="inlineStr">
        <is>
          <t>C社(地元SIer/スクラッチ)</t>
        </is>
      </c>
      <c r="I8" s="53" t="inlineStr"/>
      <c r="J8" s="23" t="inlineStr">
        <is>
          <t>※ ここに入れた社名が全シートに反映されます</t>
        </is>
      </c>
    </row>
    <row r="10">
      <c r="A10" s="21" t="inlineStr">
        <is>
          <t>■ STEP2  費用を入力する(5年総額 TCO を自動算出)</t>
        </is>
      </c>
    </row>
    <row r="11">
      <c r="C11" s="24" t="inlineStr">
        <is>
          <t>費用項目(税抜・円)</t>
        </is>
      </c>
      <c r="D11" s="24" t="inlineStr">
        <is>
          <t>区分</t>
        </is>
      </c>
      <c r="F11" s="24">
        <f>IF(F8="","",F8)</f>
        <v/>
      </c>
      <c r="G11" s="24">
        <f>IF(G8="","",G8)</f>
        <v/>
      </c>
      <c r="H11" s="24">
        <f>IF(H8="","",H8)</f>
        <v/>
      </c>
      <c r="I11" s="24">
        <f>IF(I8="","",I8)</f>
        <v/>
      </c>
      <c r="J11" s="24" t="inlineStr">
        <is>
          <t>メモ</t>
        </is>
      </c>
    </row>
    <row r="12">
      <c r="C12" s="25" t="inlineStr">
        <is>
          <t>初期費用(ライセンス・構築)</t>
        </is>
      </c>
      <c r="D12" s="26" t="inlineStr">
        <is>
          <t>一時</t>
        </is>
      </c>
      <c r="F12" s="56" t="n">
        <v>8000000</v>
      </c>
      <c r="G12" s="56" t="n">
        <v>1500000</v>
      </c>
      <c r="H12" s="56" t="n">
        <v>12000000</v>
      </c>
      <c r="I12" s="56" t="n"/>
      <c r="J12" s="28" t="inlineStr">
        <is>
          <t>A社は初年度ライセンス一括。B社は初期設定費のみ</t>
        </is>
      </c>
    </row>
    <row r="13">
      <c r="C13" s="25" t="inlineStr">
        <is>
          <t>カスタマイズ・追加開発費</t>
        </is>
      </c>
      <c r="D13" s="26" t="inlineStr">
        <is>
          <t>一時</t>
        </is>
      </c>
      <c r="F13" s="56" t="n">
        <v>3500000</v>
      </c>
      <c r="G13" s="56" t="n">
        <v>800000</v>
      </c>
      <c r="H13" s="56" t="n">
        <v>0</v>
      </c>
      <c r="I13" s="56" t="n"/>
      <c r="J13" s="28" t="inlineStr">
        <is>
          <t>A社は帳票9本の改修。C社はスクラッチのため初期費用に内包</t>
        </is>
      </c>
    </row>
    <row r="14">
      <c r="C14" s="25" t="inlineStr">
        <is>
          <t>データ移行費用</t>
        </is>
      </c>
      <c r="D14" s="26" t="inlineStr">
        <is>
          <t>一時</t>
        </is>
      </c>
      <c r="F14" s="56" t="n">
        <v>1200000</v>
      </c>
      <c r="G14" s="56" t="n">
        <v>900000</v>
      </c>
      <c r="H14" s="56" t="n">
        <v>1500000</v>
      </c>
      <c r="I14" s="56" t="n"/>
      <c r="J14" s="28" t="inlineStr">
        <is>
          <t>3社とも旧システムからのマスタ移行を含む</t>
        </is>
      </c>
    </row>
    <row r="15">
      <c r="C15" s="25" t="inlineStr">
        <is>
          <t>自社側の追加コスト(端末・回線・外部委託等)</t>
        </is>
      </c>
      <c r="D15" s="26" t="inlineStr">
        <is>
          <t>一時</t>
        </is>
      </c>
      <c r="F15" s="56" t="n">
        <v>800000</v>
      </c>
      <c r="G15" s="56" t="n">
        <v>600000</v>
      </c>
      <c r="H15" s="56" t="n">
        <v>1000000</v>
      </c>
      <c r="I15" s="56" t="n"/>
      <c r="J15" s="28" t="inlineStr">
        <is>
          <t>端末更新・回線増強・移行時の派遣要員。ベンダー見積には含まれない</t>
        </is>
      </c>
    </row>
    <row r="16">
      <c r="C16" s="25" t="inlineStr">
        <is>
          <t>年間ランニング費用(保守・利用料)</t>
        </is>
      </c>
      <c r="D16" s="26" t="inlineStr">
        <is>
          <t>年額</t>
        </is>
      </c>
      <c r="F16" s="56" t="n">
        <v>1800000</v>
      </c>
      <c r="G16" s="56" t="n">
        <v>2400000</v>
      </c>
      <c r="H16" s="56" t="n">
        <v>1200000</v>
      </c>
      <c r="I16" s="56" t="n"/>
      <c r="J16" s="28" t="inlineStr">
        <is>
          <t>A社は保守料、B社は月額利用料×12、C社は保守料</t>
        </is>
      </c>
    </row>
    <row r="17">
      <c r="C17" s="25" t="inlineStr">
        <is>
          <t>年間その他費用(法改正対応・VUP等の想定)</t>
        </is>
      </c>
      <c r="D17" s="26" t="inlineStr">
        <is>
          <t>年額</t>
        </is>
      </c>
      <c r="F17" s="56" t="n">
        <v>200000</v>
      </c>
      <c r="G17" s="56" t="n">
        <v>0</v>
      </c>
      <c r="H17" s="56" t="n">
        <v>400000</v>
      </c>
      <c r="I17" s="56" t="n"/>
      <c r="J17" s="28" t="inlineStr">
        <is>
          <t>法改正対応・VUP時の想定。A社は保守に一部含む、C社は都度有償のため厚めに計上</t>
        </is>
      </c>
    </row>
    <row r="18">
      <c r="C18" s="29" t="inlineStr">
        <is>
          <t>■ 5年総額(TCO)</t>
        </is>
      </c>
      <c r="D18" s="30" t="inlineStr">
        <is>
          <t>自動</t>
        </is>
      </c>
      <c r="F18" s="31">
        <f>IF(COUNT(F12:F17)=0,"",SUM(F12:F15)+SUM(F16:F17)*5)</f>
        <v/>
      </c>
      <c r="G18" s="31">
        <f>IF(COUNT(G12:G17)=0,"",SUM(G12:G15)+SUM(G16:G17)*5)</f>
        <v/>
      </c>
      <c r="H18" s="31">
        <f>IF(COUNT(H12:H17)=0,"",SUM(H12:H15)+SUM(H16:H17)*5)</f>
        <v/>
      </c>
      <c r="I18" s="31">
        <f>IF(COUNT(I12:I17)=0,"",SUM(I12:I15)+SUM(I16:I17)*5)</f>
        <v/>
      </c>
      <c r="J18" s="32" t="inlineStr">
        <is>
          <t>一時費用の合計 + 年額の合計×5年</t>
        </is>
      </c>
    </row>
    <row r="19">
      <c r="C19" s="6" t="inlineStr">
        <is>
          <t>※ 初期費用の安さで判断しないこと。TCOで並べ替えると順位が入れ替わるのが普通です。</t>
        </is>
      </c>
    </row>
    <row r="21">
      <c r="A21" s="21" t="inlineStr">
        <is>
          <t>■ STEP3  各項目を 1〜5 で評価する</t>
        </is>
      </c>
    </row>
    <row r="22">
      <c r="A22" s="33" t="inlineStr">
        <is>
          <t>5 = 期待を大きく上回る  /  4 = 十分に満たす  /  3 = 標準的・条件付きで満たす  /  2 = 不足あり、対応策が必要  /  1 = 満たさない</t>
        </is>
      </c>
    </row>
    <row r="23">
      <c r="A23" s="6" t="inlineStr">
        <is>
          <t>Must 欄が「○」の項目で 2 以下が1つでもあると、総合点に関わらず「要再検討」と判定されます。</t>
        </is>
      </c>
    </row>
    <row r="24" ht="30" customHeight="1">
      <c r="A24" s="7" t="inlineStr">
        <is>
          <t>大分類</t>
        </is>
      </c>
      <c r="B24" s="7" t="inlineStr">
        <is>
          <t>No</t>
        </is>
      </c>
      <c r="C24" s="7" t="inlineStr">
        <is>
          <t>評価項目</t>
        </is>
      </c>
      <c r="D24" s="7" t="inlineStr">
        <is>
          <t>確認の観点(ここを見る)</t>
        </is>
      </c>
      <c r="E24" s="7" t="inlineStr">
        <is>
          <t>Must</t>
        </is>
      </c>
      <c r="F24" s="34">
        <f>IF(F8="","",F8)</f>
        <v/>
      </c>
      <c r="G24" s="34">
        <f>IF(G8="","",G8)</f>
        <v/>
      </c>
      <c r="H24" s="34">
        <f>IF(H8="","",H8)</f>
        <v/>
      </c>
      <c r="I24" s="34">
        <f>IF(I8="","",I8)</f>
        <v/>
      </c>
      <c r="J24" s="34" t="inlineStr">
        <is>
          <t>メモ・確認結果</t>
        </is>
      </c>
    </row>
    <row r="25" ht="34" customHeight="1">
      <c r="A25" s="35" t="inlineStr">
        <is>
          <t>機能適合</t>
        </is>
      </c>
      <c r="B25" s="26" t="n">
        <v>1</v>
      </c>
      <c r="C25" s="25" t="inlineStr">
        <is>
          <t>必須業務要件の充足度</t>
        </is>
      </c>
      <c r="D25" s="11" t="inlineStr">
        <is>
          <t>要件定義で「必須」と定めた項目を満たすか。カスタマイズ前提の回答は満たしたと数えない</t>
        </is>
      </c>
      <c r="E25" s="36" t="inlineStr">
        <is>
          <t>○</t>
        </is>
      </c>
      <c r="F25" s="53" t="n">
        <v>5</v>
      </c>
      <c r="G25" s="53" t="n">
        <v>2</v>
      </c>
      <c r="H25" s="53" t="n">
        <v>5</v>
      </c>
      <c r="I25" s="53" t="n"/>
      <c r="J25" s="28" t="inlineStr">
        <is>
          <t>A社/C社は標準で充足。B社は3機能が未対応で、うち1つは代替運用も現場が拒否 → 2点</t>
        </is>
      </c>
    </row>
    <row r="26" ht="34" customHeight="1">
      <c r="A26" s="37" t="inlineStr">
        <is>
          <t>機能適合</t>
        </is>
      </c>
      <c r="B26" s="12" t="n">
        <v>2</v>
      </c>
      <c r="C26" s="38" t="inlineStr">
        <is>
          <t>標準機能での充足率(カスタマイズ不要度)</t>
        </is>
      </c>
      <c r="D26" s="39" t="inlineStr">
        <is>
          <t>カスタマイズが増えるほど、バージョンアップ時の追加費用と改修リスクが上がる。「できます」の中身が標準か開発かを必ず分ける</t>
        </is>
      </c>
      <c r="E26" s="40" t="inlineStr">
        <is>
          <t>-</t>
        </is>
      </c>
      <c r="F26" s="65" t="n">
        <v>4</v>
      </c>
      <c r="G26" s="65" t="n">
        <v>4</v>
      </c>
      <c r="H26" s="65" t="n">
        <v>2</v>
      </c>
      <c r="I26" s="65" t="n"/>
      <c r="J26" s="41" t="inlineStr">
        <is>
          <t>C社はスクラッチのため標準機能という概念がなく、全量が個別開発。VUPリスクを考慮して2点</t>
        </is>
      </c>
    </row>
    <row r="27" ht="34" customHeight="1">
      <c r="A27" s="35" t="inlineStr">
        <is>
          <t>機能適合</t>
        </is>
      </c>
      <c r="B27" s="26" t="n">
        <v>3</v>
      </c>
      <c r="C27" s="25" t="inlineStr">
        <is>
          <t>任意要件(あれば望ましい)の充足度</t>
        </is>
      </c>
      <c r="D27" s="11" t="inlineStr">
        <is>
          <t>必須要件と混ぜて評価しない。ここで差がついても足切りの理由にはしない</t>
        </is>
      </c>
      <c r="E27" s="42" t="inlineStr">
        <is>
          <t>-</t>
        </is>
      </c>
      <c r="F27" s="53" t="n">
        <v>5</v>
      </c>
      <c r="G27" s="53" t="n">
        <v>3</v>
      </c>
      <c r="H27" s="53" t="n">
        <v>5</v>
      </c>
      <c r="I27" s="53" t="n"/>
      <c r="J27" s="28" t="inlineStr">
        <is>
          <t>B社は任意要件のうち4件が未対応。ただし足切り対象外</t>
        </is>
      </c>
    </row>
    <row r="28" ht="34" customHeight="1">
      <c r="A28" s="37" t="inlineStr">
        <is>
          <t>機能適合</t>
        </is>
      </c>
      <c r="B28" s="12" t="n">
        <v>4</v>
      </c>
      <c r="C28" s="38" t="inlineStr">
        <is>
          <t>現行業務フローとの整合</t>
        </is>
      </c>
      <c r="D28" s="39" t="inlineStr">
        <is>
          <t>業務をシステムに合わせる範囲を、事前に利用部門と合意できているか。合意なしの「運用でカバー」は後で必ず揉める</t>
        </is>
      </c>
      <c r="E28" s="40" t="inlineStr">
        <is>
          <t>-</t>
        </is>
      </c>
      <c r="F28" s="65" t="n">
        <v>3</v>
      </c>
      <c r="G28" s="65" t="n">
        <v>3</v>
      </c>
      <c r="H28" s="65" t="n">
        <v>5</v>
      </c>
      <c r="I28" s="65" t="n"/>
      <c r="J28" s="41" t="inlineStr">
        <is>
          <t>A社/B社はパッケージに業務を合わせる必要あり。C社は現行踏襲。現場合意はA社で調整中</t>
        </is>
      </c>
    </row>
    <row r="29" ht="34" customHeight="1">
      <c r="A29" s="35" t="inlineStr">
        <is>
          <t>機能適合</t>
        </is>
      </c>
      <c r="B29" s="26" t="n">
        <v>5</v>
      </c>
      <c r="C29" s="25" t="inlineStr">
        <is>
          <t>画面・操作性(現場が実際に使えるか)</t>
        </is>
      </c>
      <c r="D29" s="11" t="inlineStr">
        <is>
          <t>情シスではなく利用部門にデモを触らせて評価する。1日100回使う画面の操作回数を数える</t>
        </is>
      </c>
      <c r="E29" s="42" t="inlineStr">
        <is>
          <t>-</t>
        </is>
      </c>
      <c r="F29" s="53" t="n">
        <v>3</v>
      </c>
      <c r="G29" s="53" t="n">
        <v>5</v>
      </c>
      <c r="H29" s="53" t="n">
        <v>3</v>
      </c>
      <c r="I29" s="53" t="n"/>
      <c r="J29" s="28" t="inlineStr">
        <is>
          <t>利用部門3名で実機評価。B社が最も操作回数が少ない。A社は受注入力に2画面必要</t>
        </is>
      </c>
    </row>
    <row r="30" ht="34" customHeight="1">
      <c r="A30" s="37" t="inlineStr">
        <is>
          <t>機能適合</t>
        </is>
      </c>
      <c r="B30" s="12" t="n">
        <v>6</v>
      </c>
      <c r="C30" s="38" t="inlineStr">
        <is>
          <t>帳票・出力の柔軟性</t>
        </is>
      </c>
      <c r="D30" s="39" t="inlineStr">
        <is>
          <t>帳票の追加・改変を自社でできるか、都度ベンダー依頼(有償)か。運用開始後に効いてくる</t>
        </is>
      </c>
      <c r="E30" s="40" t="inlineStr">
        <is>
          <t>-</t>
        </is>
      </c>
      <c r="F30" s="65" t="n">
        <v>4</v>
      </c>
      <c r="G30" s="65" t="n">
        <v>2</v>
      </c>
      <c r="H30" s="65" t="n">
        <v>5</v>
      </c>
      <c r="I30" s="65" t="n"/>
      <c r="J30" s="41" t="inlineStr">
        <is>
          <t>B社は帳票追加が都度有償(1本8万円〜)。既存帳票の再現に難あり</t>
        </is>
      </c>
    </row>
    <row r="31" ht="34" customHeight="1">
      <c r="A31" s="35" t="inlineStr">
        <is>
          <t>コスト</t>
        </is>
      </c>
      <c r="B31" s="26" t="n">
        <v>7</v>
      </c>
      <c r="C31" s="25" t="inlineStr">
        <is>
          <t>5年総額(TCO)の低さ ※費用入力から自動算出</t>
        </is>
      </c>
      <c r="D31" s="11" t="inlineStr">
        <is>
          <t>STEP2の費用入力から自動計算。最安社を5点として相対配点する。手入力しない</t>
        </is>
      </c>
      <c r="E31" s="42" t="inlineStr">
        <is>
          <t>-</t>
        </is>
      </c>
      <c r="F31" s="43">
        <f>IF(COUNT($F$18:$I$18)=0,"",IF(F$18="","",ROUND(MAX(1,MIN(5,5*MIN($F$18:$I$18)/F$18)),1)))</f>
        <v/>
      </c>
      <c r="G31" s="43">
        <f>IF(COUNT($F$18:$I$18)=0,"",IF(G$18="","",ROUND(MAX(1,MIN(5,5*MIN($F$18:$I$18)/G$18)),1)))</f>
        <v/>
      </c>
      <c r="H31" s="43">
        <f>IF(COUNT($F$18:$I$18)=0,"",IF(H$18="","",ROUND(MAX(1,MIN(5,5*MIN($F$18:$I$18)/H$18)),1)))</f>
        <v/>
      </c>
      <c r="I31" s="43">
        <f>IF(COUNT($F$18:$I$18)=0,"",IF(I$18="","",ROUND(MAX(1,MIN(5,5*MIN($F$18:$I$18)/I$18)),1)))</f>
        <v/>
      </c>
      <c r="J31" s="28" t="n"/>
    </row>
    <row r="32" ht="34" customHeight="1">
      <c r="A32" s="37" t="inlineStr">
        <is>
          <t>コスト</t>
        </is>
      </c>
      <c r="B32" s="12" t="n">
        <v>8</v>
      </c>
      <c r="C32" s="38" t="inlineStr">
        <is>
          <t>費用構造の透明性</t>
        </is>
      </c>
      <c r="D32" s="39" t="inlineStr">
        <is>
          <t>見積の内訳が項目ごとに分解されているか。「一式」表記が多いほど後から増える</t>
        </is>
      </c>
      <c r="E32" s="40" t="inlineStr">
        <is>
          <t>-</t>
        </is>
      </c>
      <c r="F32" s="65" t="n">
        <v>4</v>
      </c>
      <c r="G32" s="65" t="n">
        <v>5</v>
      </c>
      <c r="H32" s="65" t="n">
        <v>3</v>
      </c>
      <c r="I32" s="65" t="n"/>
      <c r="J32" s="41" t="inlineStr">
        <is>
          <t>B社は月額の内訳が明快。C社は「開発一式」表記が多く、内訳提示を再依頼した</t>
        </is>
      </c>
    </row>
    <row r="33" ht="34" customHeight="1">
      <c r="A33" s="35" t="inlineStr">
        <is>
          <t>コスト</t>
        </is>
      </c>
      <c r="B33" s="26" t="n">
        <v>9</v>
      </c>
      <c r="C33" s="25" t="inlineStr">
        <is>
          <t>追加費用の発生条件の明確さ</t>
        </is>
      </c>
      <c r="D33" s="11" t="inlineStr">
        <is>
          <t>利用者数の増加、法改正対応、バージョンアップ、問い合わせ超過。どこから課金かを文書で確認</t>
        </is>
      </c>
      <c r="E33" s="36" t="inlineStr">
        <is>
          <t>○</t>
        </is>
      </c>
      <c r="F33" s="53" t="n">
        <v>4</v>
      </c>
      <c r="G33" s="53" t="n">
        <v>4</v>
      </c>
      <c r="H33" s="53" t="n">
        <v>3</v>
      </c>
      <c r="I33" s="53" t="n"/>
      <c r="J33" s="28" t="inlineStr">
        <is>
          <t>全社とも文書で回答あり。C社は法改正対応が都度見積で、金額レンジの提示を拒否 → 3点</t>
        </is>
      </c>
    </row>
    <row r="34" ht="34" customHeight="1">
      <c r="A34" s="37" t="inlineStr">
        <is>
          <t>コスト</t>
        </is>
      </c>
      <c r="B34" s="12" t="n">
        <v>10</v>
      </c>
      <c r="C34" s="38" t="inlineStr">
        <is>
          <t>支払条件・契約期間の柔軟性</t>
        </is>
      </c>
      <c r="D34" s="39" t="inlineStr">
        <is>
          <t>最低利用期間、途中解約時の扱い、値上げ時の通知条件。SaaSは特に確認</t>
        </is>
      </c>
      <c r="E34" s="40" t="inlineStr">
        <is>
          <t>-</t>
        </is>
      </c>
      <c r="F34" s="65" t="n">
        <v>3</v>
      </c>
      <c r="G34" s="65" t="n">
        <v>4</v>
      </c>
      <c r="H34" s="65" t="n">
        <v>4</v>
      </c>
      <c r="I34" s="65" t="n"/>
      <c r="J34" s="41" t="inlineStr">
        <is>
          <t>B社は年契約で解約金なし。A社は5年縛り、C社は保守3年縛り</t>
        </is>
      </c>
    </row>
    <row r="35" ht="34" customHeight="1">
      <c r="A35" s="35" t="inlineStr">
        <is>
          <t>導入・移行負荷</t>
        </is>
      </c>
      <c r="B35" s="26" t="n">
        <v>11</v>
      </c>
      <c r="C35" s="25" t="inlineStr">
        <is>
          <t>データ移行の難易度と移行方式の妥当性</t>
        </is>
      </c>
      <c r="D35" s="11" t="inlineStr">
        <is>
          <t>移行対象の範囲、移行できないデータ、名寄せの要否。「移行は御社で」の線引きを明確に</t>
        </is>
      </c>
      <c r="E35" s="42" t="inlineStr">
        <is>
          <t>-</t>
        </is>
      </c>
      <c r="F35" s="53" t="n">
        <v>3</v>
      </c>
      <c r="G35" s="53" t="n">
        <v>4</v>
      </c>
      <c r="H35" s="53" t="n">
        <v>4</v>
      </c>
      <c r="I35" s="53" t="n"/>
      <c r="J35" s="28" t="inlineStr">
        <is>
          <t>移行対象は得意先・商品・在庫の3マスタ。B社はCSV取込ツールあり。A社は移行ツールが有償</t>
        </is>
      </c>
    </row>
    <row r="36" ht="34" customHeight="1">
      <c r="A36" s="37" t="inlineStr">
        <is>
          <t>導入・移行負荷</t>
        </is>
      </c>
      <c r="B36" s="12" t="n">
        <v>12</v>
      </c>
      <c r="C36" s="38" t="inlineStr">
        <is>
          <t>導入期間と自社の希望スケジュールの適合</t>
        </is>
      </c>
      <c r="D36" s="39" t="inlineStr">
        <is>
          <t>繁忙期・決算期を避けられるか。ベンダー側の要員確保時期も確認する</t>
        </is>
      </c>
      <c r="E36" s="40" t="inlineStr">
        <is>
          <t>-</t>
        </is>
      </c>
      <c r="F36" s="65" t="n">
        <v>2</v>
      </c>
      <c r="G36" s="65" t="n">
        <v>5</v>
      </c>
      <c r="H36" s="65" t="n">
        <v>2</v>
      </c>
      <c r="I36" s="65" t="n"/>
      <c r="J36" s="41" t="inlineStr">
        <is>
          <t>A社は要員確保の都合で着手が4か月後。繁忙期(3月)にテストが重なる → 2点</t>
        </is>
      </c>
    </row>
    <row r="37" ht="34" customHeight="1">
      <c r="A37" s="35" t="inlineStr">
        <is>
          <t>導入・移行負荷</t>
        </is>
      </c>
      <c r="B37" s="26" t="n">
        <v>13</v>
      </c>
      <c r="C37" s="25" t="inlineStr">
        <is>
          <t>自社側に必要な工数(人日)</t>
        </is>
      </c>
      <c r="D37" s="11" t="inlineStr">
        <is>
          <t>見積書に絶対に出てこない項目。要件確認、テスト、マスタ整備、現場調整。ここを聞かないと必ず溢れる</t>
        </is>
      </c>
      <c r="E37" s="36" t="inlineStr">
        <is>
          <t>○</t>
        </is>
      </c>
      <c r="F37" s="53" t="n">
        <v>3</v>
      </c>
      <c r="G37" s="53" t="n">
        <v>4</v>
      </c>
      <c r="H37" s="53" t="n">
        <v>3</v>
      </c>
      <c r="I37" s="53" t="n"/>
      <c r="J37" s="28" t="inlineStr">
        <is>
          <t>自社工数の見積:A社 45人日 / B社 28人日 / C社 40人日。全社から人日で回答を取得済み</t>
        </is>
      </c>
    </row>
    <row r="38" ht="34" customHeight="1">
      <c r="A38" s="37" t="inlineStr">
        <is>
          <t>導入・移行負荷</t>
        </is>
      </c>
      <c r="B38" s="12" t="n">
        <v>14</v>
      </c>
      <c r="C38" s="38" t="inlineStr">
        <is>
          <t>現場教育・マニュアルの提供範囲</t>
        </is>
      </c>
      <c r="D38" s="39" t="inlineStr">
        <is>
          <t>研修が何回・何名まで無償か。マニュアルは自社編集可能な形式で提供されるか</t>
        </is>
      </c>
      <c r="E38" s="40" t="inlineStr">
        <is>
          <t>-</t>
        </is>
      </c>
      <c r="F38" s="65" t="n">
        <v>4</v>
      </c>
      <c r="G38" s="65" t="n">
        <v>4</v>
      </c>
      <c r="H38" s="65" t="n">
        <v>3</v>
      </c>
      <c r="I38" s="65" t="n"/>
      <c r="J38" s="41" t="inlineStr">
        <is>
          <t>A社は研修2回まで無償。C社は1回のみで追加は有償</t>
        </is>
      </c>
    </row>
    <row r="39" ht="34" customHeight="1">
      <c r="A39" s="35" t="inlineStr">
        <is>
          <t>導入・移行負荷</t>
        </is>
      </c>
      <c r="B39" s="26" t="n">
        <v>15</v>
      </c>
      <c r="C39" s="25" t="inlineStr">
        <is>
          <t>並行稼働・切替方式のリスク</t>
        </is>
      </c>
      <c r="D39" s="11" t="inlineStr">
        <is>
          <t>一斉切替か段階切替か。切り戻し(ロールバック)の条件と期限が決まっているか</t>
        </is>
      </c>
      <c r="E39" s="42" t="inlineStr">
        <is>
          <t>-</t>
        </is>
      </c>
      <c r="F39" s="53" t="n">
        <v>3</v>
      </c>
      <c r="G39" s="53" t="n">
        <v>4</v>
      </c>
      <c r="H39" s="53" t="n">
        <v>3</v>
      </c>
      <c r="I39" s="53" t="n"/>
      <c r="J39" s="28" t="inlineStr">
        <is>
          <t>B社のみ部門単位の段階切替が可能。A社/C社は一斉切替で切り戻し期限は当日中</t>
        </is>
      </c>
    </row>
    <row r="40" ht="34" customHeight="1">
      <c r="A40" s="37" t="inlineStr">
        <is>
          <t>サポート・保守</t>
        </is>
      </c>
      <c r="B40" s="12" t="n">
        <v>16</v>
      </c>
      <c r="C40" s="38" t="inlineStr">
        <is>
          <t>問い合わせ窓口と受付時間</t>
        </is>
      </c>
      <c r="D40" s="39" t="inlineStr">
        <is>
          <t>受付時間、手段(電話/メール/チャット)、専任か共通か。自社の稼働時間と合っているか</t>
        </is>
      </c>
      <c r="E40" s="40" t="inlineStr">
        <is>
          <t>-</t>
        </is>
      </c>
      <c r="F40" s="65" t="n">
        <v>4</v>
      </c>
      <c r="G40" s="65" t="n">
        <v>3</v>
      </c>
      <c r="H40" s="65" t="n">
        <v>5</v>
      </c>
      <c r="I40" s="65" t="n"/>
      <c r="J40" s="41" t="inlineStr">
        <is>
          <t>C社は地元で往訪対応可。B社はチャット中心で電話は上位プランのみ</t>
        </is>
      </c>
    </row>
    <row r="41" ht="34" customHeight="1">
      <c r="A41" s="35" t="inlineStr">
        <is>
          <t>サポート・保守</t>
        </is>
      </c>
      <c r="B41" s="26" t="n">
        <v>17</v>
      </c>
      <c r="C41" s="25" t="inlineStr">
        <is>
          <t>障害時の対応基準(SLA)の明文化</t>
        </is>
      </c>
      <c r="D41" s="11" t="inlineStr">
        <is>
          <t>一次回答時間、復旧目標、稼働率。口頭ではなく契約書・SLA文書に書かれているかを確認</t>
        </is>
      </c>
      <c r="E41" s="36" t="inlineStr">
        <is>
          <t>○</t>
        </is>
      </c>
      <c r="F41" s="53" t="n">
        <v>5</v>
      </c>
      <c r="G41" s="53" t="n">
        <v>4</v>
      </c>
      <c r="H41" s="53" t="n">
        <v>3</v>
      </c>
      <c r="I41" s="53" t="n"/>
      <c r="J41" s="28" t="inlineStr">
        <is>
          <t>A社はSLA文書あり(一次回答2時間)。C社はSLA文書がなく、契約書に追記を要請中 → 3点</t>
        </is>
      </c>
    </row>
    <row r="42" ht="34" customHeight="1">
      <c r="A42" s="37" t="inlineStr">
        <is>
          <t>サポート・保守</t>
        </is>
      </c>
      <c r="B42" s="12" t="n">
        <v>18</v>
      </c>
      <c r="C42" s="38" t="inlineStr">
        <is>
          <t>保守契約の範囲(どこからが有償か)</t>
        </is>
      </c>
      <c r="D42" s="39" t="inlineStr">
        <is>
          <t>操作質問、設定変更、マスタ追加、障害調査、データ復旧。無償の線引きを必ず文書で取る</t>
        </is>
      </c>
      <c r="E42" s="44" t="inlineStr">
        <is>
          <t>○</t>
        </is>
      </c>
      <c r="F42" s="65" t="n">
        <v>4</v>
      </c>
      <c r="G42" s="65" t="n">
        <v>4</v>
      </c>
      <c r="H42" s="65" t="n">
        <v>3</v>
      </c>
      <c r="I42" s="65" t="n"/>
      <c r="J42" s="41" t="inlineStr">
        <is>
          <t>C社は「操作質問は有償」の線引きが曖昧。A社/B社は範囲一覧を文書で受領済み → C社3点</t>
        </is>
      </c>
    </row>
    <row r="43" ht="34" customHeight="1">
      <c r="A43" s="35" t="inlineStr">
        <is>
          <t>サポート・保守</t>
        </is>
      </c>
      <c r="B43" s="26" t="n">
        <v>19</v>
      </c>
      <c r="C43" s="25" t="inlineStr">
        <is>
          <t>担当者の業務理解度・体制</t>
        </is>
      </c>
      <c r="D43" s="11" t="inlineStr">
        <is>
          <t>担当が交代したときの引継ぎ方法。個人の力量に依存していないか</t>
        </is>
      </c>
      <c r="E43" s="42" t="inlineStr">
        <is>
          <t>-</t>
        </is>
      </c>
      <c r="F43" s="53" t="n">
        <v>3</v>
      </c>
      <c r="G43" s="53" t="n">
        <v>3</v>
      </c>
      <c r="H43" s="53" t="n">
        <v>5</v>
      </c>
      <c r="I43" s="53" t="n"/>
      <c r="J43" s="28" t="inlineStr">
        <is>
          <t>C社は担当が当社業務を熟知。ただし1名依存で、交代時の体制に不安あり</t>
        </is>
      </c>
    </row>
    <row r="44" ht="34" customHeight="1">
      <c r="A44" s="37" t="inlineStr">
        <is>
          <t>サポート・保守</t>
        </is>
      </c>
      <c r="B44" s="12" t="n">
        <v>20</v>
      </c>
      <c r="C44" s="38" t="inlineStr">
        <is>
          <t>定期報告・改善提案の有無</t>
        </is>
      </c>
      <c r="D44" s="39" t="inlineStr">
        <is>
          <t>稼働状況の定期報告があるか。売って終わりのベンダーかどうかがここで分かる</t>
        </is>
      </c>
      <c r="E44" s="40" t="inlineStr">
        <is>
          <t>-</t>
        </is>
      </c>
      <c r="F44" s="65" t="n">
        <v>4</v>
      </c>
      <c r="G44" s="65" t="n">
        <v>3</v>
      </c>
      <c r="H44" s="65" t="n">
        <v>4</v>
      </c>
      <c r="I44" s="65" t="n"/>
      <c r="J44" s="41" t="inlineStr">
        <is>
          <t>A社/C社は四半期報告あり。B社は自動レポートのみ</t>
        </is>
      </c>
    </row>
    <row r="45" ht="34" customHeight="1">
      <c r="A45" s="35" t="inlineStr">
        <is>
          <t>拡張性・将来性</t>
        </is>
      </c>
      <c r="B45" s="26" t="n">
        <v>21</v>
      </c>
      <c r="C45" s="25" t="inlineStr">
        <is>
          <t>他システムとの連携手段</t>
        </is>
      </c>
      <c r="D45" s="11" t="inlineStr">
        <is>
          <t>API の有無と仕様公開範囲、CSV連携の自動化可否。連携が有償開発のみなら将来コストが跳ねる</t>
        </is>
      </c>
      <c r="E45" s="42" t="inlineStr">
        <is>
          <t>-</t>
        </is>
      </c>
      <c r="F45" s="53" t="n">
        <v>4</v>
      </c>
      <c r="G45" s="53" t="n">
        <v>5</v>
      </c>
      <c r="H45" s="53" t="n">
        <v>2</v>
      </c>
      <c r="I45" s="53" t="n"/>
      <c r="J45" s="28" t="inlineStr">
        <is>
          <t>B社はAPI公開・仕様書あり。C社はAPIなし、CSV手動連携のみ → 2点</t>
        </is>
      </c>
    </row>
    <row r="46" ht="34" customHeight="1">
      <c r="A46" s="37" t="inlineStr">
        <is>
          <t>拡張性・将来性</t>
        </is>
      </c>
      <c r="B46" s="12" t="n">
        <v>22</v>
      </c>
      <c r="C46" s="38" t="inlineStr">
        <is>
          <t>データの持ち出し可否と形式</t>
        </is>
      </c>
      <c r="D46" s="39" t="inlineStr">
        <is>
          <t>解約時に自社データを機械可読形式で全件取り出せるか。契約書に明記されているか。ロックイン回避の要</t>
        </is>
      </c>
      <c r="E46" s="44" t="inlineStr">
        <is>
          <t>○</t>
        </is>
      </c>
      <c r="F46" s="65" t="n">
        <v>4</v>
      </c>
      <c r="G46" s="65" t="n">
        <v>5</v>
      </c>
      <c r="H46" s="65" t="n">
        <v>3</v>
      </c>
      <c r="I46" s="65" t="n"/>
      <c r="J46" s="41" t="inlineStr">
        <is>
          <t>B社は管理画面から全件エクスポート可。C社はDB直参照で、契約書に持ち出し条項なし → 追記要請中</t>
        </is>
      </c>
    </row>
    <row r="47" ht="34" customHeight="1">
      <c r="A47" s="35" t="inlineStr">
        <is>
          <t>拡張性・将来性</t>
        </is>
      </c>
      <c r="B47" s="26" t="n">
        <v>23</v>
      </c>
      <c r="C47" s="25" t="inlineStr">
        <is>
          <t>法改正・制度変更への対応実績と費用負担</t>
        </is>
      </c>
      <c r="D47" s="11" t="inlineStr">
        <is>
          <t>過去の改正でいつ対応したかを実績で聞く。対応が標準保守に含まれるか都度有償かを確認</t>
        </is>
      </c>
      <c r="E47" s="36" t="inlineStr">
        <is>
          <t>○</t>
        </is>
      </c>
      <c r="F47" s="53" t="n">
        <v>5</v>
      </c>
      <c r="G47" s="53" t="n">
        <v>4</v>
      </c>
      <c r="H47" s="53" t="n">
        <v>3</v>
      </c>
      <c r="I47" s="53" t="n"/>
      <c r="J47" s="28" t="inlineStr">
        <is>
          <t>A社はインボイス対応を施行3か月前にリリース済み。C社は都度有償かつ実績の提示なし → 3点</t>
        </is>
      </c>
    </row>
    <row r="48" ht="34" customHeight="1">
      <c r="A48" s="37" t="inlineStr">
        <is>
          <t>拡張性・将来性</t>
        </is>
      </c>
      <c r="B48" s="12" t="n">
        <v>24</v>
      </c>
      <c r="C48" s="38" t="inlineStr">
        <is>
          <t>バージョンアップの提供形態と自社負担</t>
        </is>
      </c>
      <c r="D48" s="39" t="inlineStr">
        <is>
          <t>強制か任意か、費用と自社側の検証工数。カスタマイズ部分の改修費は誰が持つか</t>
        </is>
      </c>
      <c r="E48" s="40" t="inlineStr">
        <is>
          <t>-</t>
        </is>
      </c>
      <c r="F48" s="65" t="n">
        <v>3</v>
      </c>
      <c r="G48" s="65" t="n">
        <v>5</v>
      </c>
      <c r="H48" s="65" t="n">
        <v>2</v>
      </c>
      <c r="I48" s="65" t="n"/>
      <c r="J48" s="41" t="inlineStr">
        <is>
          <t>C社はスクラッチのため改修が都度有償。B社は自動VUPで自社負担ほぼなし</t>
        </is>
      </c>
    </row>
    <row r="49" ht="34" customHeight="1">
      <c r="A49" s="35" t="inlineStr">
        <is>
          <t>拡張性・将来性</t>
        </is>
      </c>
      <c r="B49" s="26" t="n">
        <v>25</v>
      </c>
      <c r="C49" s="25" t="inlineStr">
        <is>
          <t>利用者数・データ量の増加への対応</t>
        </is>
      </c>
      <c r="D49" s="11" t="inlineStr">
        <is>
          <t>増加時の課金体系と性能上限。5年後の想定規模で見積を取り直してもらう</t>
        </is>
      </c>
      <c r="E49" s="42" t="inlineStr">
        <is>
          <t>-</t>
        </is>
      </c>
      <c r="F49" s="53" t="n">
        <v>4</v>
      </c>
      <c r="G49" s="53" t="n">
        <v>4</v>
      </c>
      <c r="H49" s="53" t="n">
        <v>3</v>
      </c>
      <c r="I49" s="53" t="n"/>
      <c r="J49" s="28" t="inlineStr">
        <is>
          <t>5年後180名想定で再見積を取得。B社は段階課金で+38%、A社は+15%</t>
        </is>
      </c>
    </row>
    <row r="50" ht="34" customHeight="1">
      <c r="A50" s="37" t="inlineStr">
        <is>
          <t>ベンダー信頼性</t>
        </is>
      </c>
      <c r="B50" s="12" t="n">
        <v>26</v>
      </c>
      <c r="C50" s="38" t="inlineStr">
        <is>
          <t>同業種・同規模の導入実績</t>
        </is>
      </c>
      <c r="D50" s="39" t="inlineStr">
        <is>
          <t>業種と規模の両方が近い事例か。大企業の実績は中堅企業の保証にならない</t>
        </is>
      </c>
      <c r="E50" s="40" t="inlineStr">
        <is>
          <t>-</t>
        </is>
      </c>
      <c r="F50" s="65" t="n">
        <v>5</v>
      </c>
      <c r="G50" s="65" t="n">
        <v>3</v>
      </c>
      <c r="H50" s="65" t="n">
        <v>4</v>
      </c>
      <c r="I50" s="65" t="n"/>
      <c r="J50" s="41" t="inlineStr">
        <is>
          <t>A社は同業種同規模の事例を5件提示。B社は業種違いが多い</t>
        </is>
      </c>
    </row>
    <row r="51" ht="34" customHeight="1">
      <c r="A51" s="35" t="inlineStr">
        <is>
          <t>ベンダー信頼性</t>
        </is>
      </c>
      <c r="B51" s="26" t="n">
        <v>27</v>
      </c>
      <c r="C51" s="25" t="inlineStr">
        <is>
          <t>提案内容の的確さ</t>
        </is>
      </c>
      <c r="D51" s="11" t="inlineStr">
        <is>
          <t>こちらの業務を理解した提案か、汎用資料の流用か。ヒアリング内容が提案に反映されているかで判別できる</t>
        </is>
      </c>
      <c r="E51" s="42" t="inlineStr">
        <is>
          <t>-</t>
        </is>
      </c>
      <c r="F51" s="53" t="n">
        <v>3</v>
      </c>
      <c r="G51" s="53" t="n">
        <v>4</v>
      </c>
      <c r="H51" s="53" t="n">
        <v>5</v>
      </c>
      <c r="I51" s="53" t="n"/>
      <c r="J51" s="28" t="inlineStr">
        <is>
          <t>C社の提案書はヒアリング内容が具体的に反映されていた。A社は汎用資料の流用が目立つ → 3点</t>
        </is>
      </c>
    </row>
    <row r="52" ht="34" customHeight="1">
      <c r="A52" s="37" t="inlineStr">
        <is>
          <t>ベンダー信頼性</t>
        </is>
      </c>
      <c r="B52" s="12" t="n">
        <v>28</v>
      </c>
      <c r="C52" s="38" t="inlineStr">
        <is>
          <t>経営の安定性・事業継続性</t>
        </is>
      </c>
      <c r="D52" s="39" t="inlineStr">
        <is>
          <t>5年以上使う前提。当該製品の開発継続方針とサポート終了(EOL)方針を確認</t>
        </is>
      </c>
      <c r="E52" s="40" t="inlineStr">
        <is>
          <t>-</t>
        </is>
      </c>
      <c r="F52" s="65" t="n">
        <v>5</v>
      </c>
      <c r="G52" s="65" t="n">
        <v>3</v>
      </c>
      <c r="H52" s="65" t="n">
        <v>3</v>
      </c>
      <c r="I52" s="65" t="n"/>
      <c r="J52" s="41" t="inlineStr">
        <is>
          <t>A社は上場企業。B社/C社は非上場で、EOL方針は口頭回答のみ</t>
        </is>
      </c>
    </row>
    <row r="53" ht="34" customHeight="1">
      <c r="A53" s="35" t="inlineStr">
        <is>
          <t>ベンダー信頼性</t>
        </is>
      </c>
      <c r="B53" s="26" t="n">
        <v>29</v>
      </c>
      <c r="C53" s="25" t="inlineStr">
        <is>
          <t>参考顧客への訪問・ヒアリング可否</t>
        </is>
      </c>
      <c r="D53" s="11" t="inlineStr">
        <is>
          <t>断られる場合は理由を聞く。応じるベンダーは自信がある。実際に聞けると判断精度が跳ね上がる</t>
        </is>
      </c>
      <c r="E53" s="42" t="inlineStr">
        <is>
          <t>-</t>
        </is>
      </c>
      <c r="F53" s="53" t="n">
        <v>4</v>
      </c>
      <c r="G53" s="53" t="n">
        <v>4</v>
      </c>
      <c r="H53" s="53" t="n">
        <v>5</v>
      </c>
      <c r="I53" s="53" t="n"/>
      <c r="J53" s="28" t="inlineStr">
        <is>
          <t>C社は往訪、B社は電話ヒアリングに応諾。A社は書面事例のみ</t>
        </is>
      </c>
    </row>
    <row r="55">
      <c r="A55" s="21" t="inlineStr">
        <is>
          <t>■ 集計結果(順位・チャート・稟議文面は 03_稟議用サマリ へ)</t>
        </is>
      </c>
    </row>
    <row r="56">
      <c r="C56" s="29" t="inlineStr">
        <is>
          <t>Must判定</t>
        </is>
      </c>
      <c r="F56" s="45">
        <f>IF(COUNT(F25:F53)=0,"未評価",IF(SUMPRODUCT(($E$25:$E$53="○")*(F$25:F$53&lt;3)*(F$25:F$53&gt;0))&gt;0,"要再検討","合格"))</f>
        <v/>
      </c>
      <c r="G56" s="45">
        <f>IF(COUNT(G25:G53)=0,"未評価",IF(SUMPRODUCT(($E$25:$E$53="○")*(G$25:G$53&lt;3)*(G$25:G$53&gt;0))&gt;0,"要再検討","合格"))</f>
        <v/>
      </c>
      <c r="H56" s="45">
        <f>IF(COUNT(H25:H53)=0,"未評価",IF(SUMPRODUCT(($E$25:$E$53="○")*(H$25:H$53&lt;3)*(H$25:H$53&gt;0))&gt;0,"要再検討","合格"))</f>
        <v/>
      </c>
      <c r="I56" s="45">
        <f>IF(COUNT(I25:I53)=0,"未評価",IF(SUMPRODUCT(($E$25:$E$53="○")*(I$25:I$53&lt;3)*(I$25:I$53&gt;0))&gt;0,"要再検討","合格"))</f>
        <v/>
      </c>
    </row>
    <row r="57">
      <c r="C57" s="29" t="inlineStr">
        <is>
          <t>加重総合点(100点満点)</t>
        </is>
      </c>
      <c r="F57" s="43">
        <f>IF(COUNT(F25:F53)=0,"",SUMPRODUCT($D$60:$D$65,F$60:F$65)/100/5*100)</f>
        <v/>
      </c>
      <c r="G57" s="43">
        <f>IF(COUNT(G25:G53)=0,"",SUMPRODUCT($D$60:$D$65,G$60:G$65)/100/5*100)</f>
        <v/>
      </c>
      <c r="H57" s="43">
        <f>IF(COUNT(H25:H53)=0,"",SUMPRODUCT($D$60:$D$65,H$60:H$65)/100/5*100)</f>
        <v/>
      </c>
      <c r="I57" s="43">
        <f>IF(COUNT(I25:I53)=0,"",SUMPRODUCT($D$60:$D$65,I$60:I$65)/100/5*100)</f>
        <v/>
      </c>
    </row>
    <row r="58">
      <c r="C58" s="29" t="inlineStr">
        <is>
          <t>5年総額(TCO)</t>
        </is>
      </c>
      <c r="F58" s="46">
        <f>F18</f>
        <v/>
      </c>
      <c r="G58" s="46">
        <f>G18</f>
        <v/>
      </c>
      <c r="H58" s="46">
        <f>H18</f>
        <v/>
      </c>
      <c r="I58" s="46">
        <f>I18</f>
        <v/>
      </c>
    </row>
    <row r="59">
      <c r="C59" s="47" t="inlineStr">
        <is>
          <t>大分類別スコア(5点満点)  ※自動計算</t>
        </is>
      </c>
    </row>
    <row r="60">
      <c r="C60" s="48" t="inlineStr">
        <is>
          <t>機能適合</t>
        </is>
      </c>
      <c r="D60" s="49">
        <f>'01_重み付け設定'!C5</f>
        <v/>
      </c>
      <c r="F60" s="50">
        <f>IFERROR(AVERAGEIFS(F$25:F$53,$A$25:$A$53,$C60),0)</f>
        <v/>
      </c>
      <c r="G60" s="50">
        <f>IFERROR(AVERAGEIFS(G$25:G$53,$A$25:$A$53,$C60),0)</f>
        <v/>
      </c>
      <c r="H60" s="50">
        <f>IFERROR(AVERAGEIFS(H$25:H$53,$A$25:$A$53,$C60),0)</f>
        <v/>
      </c>
      <c r="I60" s="50">
        <f>IFERROR(AVERAGEIFS(I$25:I$53,$A$25:$A$53,$C60),0)</f>
        <v/>
      </c>
    </row>
    <row r="61">
      <c r="C61" s="48" t="inlineStr">
        <is>
          <t>コスト</t>
        </is>
      </c>
      <c r="D61" s="49">
        <f>'01_重み付け設定'!C6</f>
        <v/>
      </c>
      <c r="F61" s="50">
        <f>IFERROR(AVERAGEIFS(F$25:F$53,$A$25:$A$53,$C61),0)</f>
        <v/>
      </c>
      <c r="G61" s="50">
        <f>IFERROR(AVERAGEIFS(G$25:G$53,$A$25:$A$53,$C61),0)</f>
        <v/>
      </c>
      <c r="H61" s="50">
        <f>IFERROR(AVERAGEIFS(H$25:H$53,$A$25:$A$53,$C61),0)</f>
        <v/>
      </c>
      <c r="I61" s="50">
        <f>IFERROR(AVERAGEIFS(I$25:I$53,$A$25:$A$53,$C61),0)</f>
        <v/>
      </c>
    </row>
    <row r="62">
      <c r="C62" s="48" t="inlineStr">
        <is>
          <t>導入・移行負荷</t>
        </is>
      </c>
      <c r="D62" s="49">
        <f>'01_重み付け設定'!C7</f>
        <v/>
      </c>
      <c r="F62" s="50">
        <f>IFERROR(AVERAGEIFS(F$25:F$53,$A$25:$A$53,$C62),0)</f>
        <v/>
      </c>
      <c r="G62" s="50">
        <f>IFERROR(AVERAGEIFS(G$25:G$53,$A$25:$A$53,$C62),0)</f>
        <v/>
      </c>
      <c r="H62" s="50">
        <f>IFERROR(AVERAGEIFS(H$25:H$53,$A$25:$A$53,$C62),0)</f>
        <v/>
      </c>
      <c r="I62" s="50">
        <f>IFERROR(AVERAGEIFS(I$25:I$53,$A$25:$A$53,$C62),0)</f>
        <v/>
      </c>
    </row>
    <row r="63">
      <c r="C63" s="48" t="inlineStr">
        <is>
          <t>サポート・保守</t>
        </is>
      </c>
      <c r="D63" s="49">
        <f>'01_重み付け設定'!C8</f>
        <v/>
      </c>
      <c r="F63" s="50">
        <f>IFERROR(AVERAGEIFS(F$25:F$53,$A$25:$A$53,$C63),0)</f>
        <v/>
      </c>
      <c r="G63" s="50">
        <f>IFERROR(AVERAGEIFS(G$25:G$53,$A$25:$A$53,$C63),0)</f>
        <v/>
      </c>
      <c r="H63" s="50">
        <f>IFERROR(AVERAGEIFS(H$25:H$53,$A$25:$A$53,$C63),0)</f>
        <v/>
      </c>
      <c r="I63" s="50">
        <f>IFERROR(AVERAGEIFS(I$25:I$53,$A$25:$A$53,$C63),0)</f>
        <v/>
      </c>
    </row>
    <row r="64">
      <c r="C64" s="48" t="inlineStr">
        <is>
          <t>拡張性・将来性</t>
        </is>
      </c>
      <c r="D64" s="49">
        <f>'01_重み付け設定'!C9</f>
        <v/>
      </c>
      <c r="F64" s="50">
        <f>IFERROR(AVERAGEIFS(F$25:F$53,$A$25:$A$53,$C64),0)</f>
        <v/>
      </c>
      <c r="G64" s="50">
        <f>IFERROR(AVERAGEIFS(G$25:G$53,$A$25:$A$53,$C64),0)</f>
        <v/>
      </c>
      <c r="H64" s="50">
        <f>IFERROR(AVERAGEIFS(H$25:H$53,$A$25:$A$53,$C64),0)</f>
        <v/>
      </c>
      <c r="I64" s="50">
        <f>IFERROR(AVERAGEIFS(I$25:I$53,$A$25:$A$53,$C64),0)</f>
        <v/>
      </c>
    </row>
    <row r="65">
      <c r="C65" s="48" t="inlineStr">
        <is>
          <t>ベンダー信頼性</t>
        </is>
      </c>
      <c r="D65" s="49">
        <f>'01_重み付け設定'!C10</f>
        <v/>
      </c>
      <c r="F65" s="50">
        <f>IFERROR(AVERAGEIFS(F$25:F$53,$A$25:$A$53,$C65),0)</f>
        <v/>
      </c>
      <c r="G65" s="50">
        <f>IFERROR(AVERAGEIFS(G$25:G$53,$A$25:$A$53,$C65),0)</f>
        <v/>
      </c>
      <c r="H65" s="50">
        <f>IFERROR(AVERAGEIFS(H$25:H$53,$A$25:$A$53,$C65),0)</f>
        <v/>
      </c>
      <c r="I65" s="50">
        <f>IFERROR(AVERAGEIFS(I$25:I$53,$A$25:$A$53,$C65),0)</f>
        <v/>
      </c>
    </row>
    <row r="68">
      <c r="C68" s="17" t="inlineStr">
        <is>
          <t>▼ この記入例の読みどころ</t>
        </is>
      </c>
    </row>
    <row r="69" ht="26" customHeight="1">
      <c r="C69" s="66" t="inlineStr">
        <is>
          <t>・B社は加重総合点で1位だが、必須要件を標準機能で満たせず(項目1で2点)Must判定が「要再検討」。点数だけで決めていたら、要件を満たさない製品を選んでいたことになります。</t>
        </is>
      </c>
    </row>
    <row r="70" ht="26" customHeight="1">
      <c r="C70" s="66" t="inlineStr">
        <is>
          <t>・C社は機能適合が最も高いが、拡張性・将来性が 2.6 と低い。スクラッチ開発の典型で、作った直後は最適でも5年後に動けなくなる形です。</t>
        </is>
      </c>
    </row>
    <row r="71" ht="26" customHeight="1">
      <c r="C71" s="66" t="inlineStr">
        <is>
          <t>・一時費用はC社が最も高い(1,450万円 / A社1,350万円)のに、5年TCOではC社2,250万円 &lt; A社2,350万円 と逆転します。初期費用だけで並べると順位を読み違える、という典型例です。</t>
        </is>
      </c>
    </row>
    <row r="72" ht="26" customHeight="1">
      <c r="C72" s="66" t="inlineStr">
        <is>
          <t>・結果として、Must合格社の中で最上位のA社が実質の選定候補になります。</t>
        </is>
      </c>
    </row>
    <row r="73" ht="26" customHeight="1">
      <c r="C73" s="66" t="inlineStr">
        <is>
          <t>・メモ欄の書き方に注目してください。点数の根拠が1行あるだけで、3か月後の稟議説明が成立します。</t>
        </is>
      </c>
    </row>
  </sheetData>
  <mergeCells count="14">
    <mergeCell ref="A1:J1"/>
    <mergeCell ref="B4:E4"/>
    <mergeCell ref="A21:J21"/>
    <mergeCell ref="C71:J71"/>
    <mergeCell ref="A55:J55"/>
    <mergeCell ref="C72:J72"/>
    <mergeCell ref="A7:J7"/>
    <mergeCell ref="B3:E3"/>
    <mergeCell ref="B5:E5"/>
    <mergeCell ref="A8:E8"/>
    <mergeCell ref="C70:J70"/>
    <mergeCell ref="A10:J10"/>
    <mergeCell ref="C69:J69"/>
    <mergeCell ref="C73:J73"/>
  </mergeCells>
  <dataValidations count="1">
    <dataValidation sqref="F25:I30 F32:I53" showDropDown="0" showInputMessage="0" showErrorMessage="1" allowBlank="1" errorTitle="入力エラー" error="1〜5 の整数で入力してください。" type="list">
      <formula1>"1,2,3,4,5"</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5"/>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4" customWidth="1" min="1" max="1"/>
    <col width="16" customWidth="1" min="2" max="2"/>
    <col width="62" customWidth="1" min="3" max="3"/>
    <col width="56" customWidth="1" min="4" max="4"/>
    <col width="8" customWidth="1" min="5" max="5"/>
    <col width="8" customWidth="1" min="6" max="6"/>
    <col width="8" customWidth="1" min="7" max="7"/>
    <col width="8" customWidth="1" min="8" max="8"/>
  </cols>
  <sheetData>
    <row r="1" ht="26" customHeight="1">
      <c r="A1" s="1" t="inlineStr">
        <is>
          <t>ベンダーへの質問リスト(RFP・提案依頼時にそのまま使えます)</t>
        </is>
      </c>
    </row>
    <row r="2">
      <c r="B2" s="5" t="inlineStr">
        <is>
          <t>評価項目を埋めるために必要な質問を並べています。提案依頼時に添付するか、デモ・ヒアリングの場で使ってください。</t>
        </is>
      </c>
    </row>
    <row r="3">
      <c r="B3" s="6" t="inlineStr">
        <is>
          <t>重要なのは「答えられるか」だけでなく「文書で出せるか」です。口頭回答は、確認済みに数えないでください。</t>
        </is>
      </c>
    </row>
    <row r="5" ht="30" customHeight="1">
      <c r="A5" s="34" t="inlineStr">
        <is>
          <t>No</t>
        </is>
      </c>
      <c r="B5" s="34" t="inlineStr">
        <is>
          <t>分類</t>
        </is>
      </c>
      <c r="C5" s="34" t="inlineStr">
        <is>
          <t>質問内容</t>
        </is>
      </c>
      <c r="D5" s="34" t="inlineStr">
        <is>
          <t>なぜ聞くか(回答をどう使うか)</t>
        </is>
      </c>
      <c r="E5" s="34">
        <f>IF('02_比較評価シート'!F8="","",'02_比較評価シート'!F8)</f>
        <v/>
      </c>
      <c r="F5" s="34">
        <f>IF('02_比較評価シート'!G8="","",'02_比較評価シート'!G8)</f>
        <v/>
      </c>
      <c r="G5" s="34">
        <f>IF('02_比較評価シート'!H8="","",'02_比較評価シート'!H8)</f>
        <v/>
      </c>
      <c r="H5" s="34">
        <f>IF('02_比較評価シート'!I8="","",'02_比較評価シート'!I8)</f>
        <v/>
      </c>
    </row>
    <row r="6" ht="32" customHeight="1">
      <c r="A6" s="26" t="n">
        <v>1</v>
      </c>
      <c r="B6" s="35" t="inlineStr">
        <is>
          <t>機能適合</t>
        </is>
      </c>
      <c r="C6" s="25" t="inlineStr">
        <is>
          <t>ご提案の機能のうち、標準機能と個別開発をそれぞれ一覧で分けていただけますか</t>
        </is>
      </c>
      <c r="D6" s="11" t="inlineStr">
        <is>
          <t>「できます」の中身を分解する。個別開発が多いほど費用とVUPリスクが上がる</t>
        </is>
      </c>
      <c r="E6" s="67" t="n"/>
      <c r="F6" s="67" t="n"/>
      <c r="G6" s="67" t="n"/>
      <c r="H6" s="67" t="n"/>
    </row>
    <row r="7" ht="32" customHeight="1">
      <c r="A7" s="12" t="n">
        <v>2</v>
      </c>
      <c r="B7" s="37" t="inlineStr">
        <is>
          <t>機能適合</t>
        </is>
      </c>
      <c r="C7" s="38" t="inlineStr">
        <is>
          <t>当社の必須要件◯番について、標準機能のどの画面で実現されますか</t>
        </is>
      </c>
      <c r="D7" s="39" t="inlineStr">
        <is>
          <t>デモで実物を見せてもらう。資料上の○は当てにならない</t>
        </is>
      </c>
      <c r="E7" s="67" t="n"/>
      <c r="F7" s="67" t="n"/>
      <c r="G7" s="67" t="n"/>
      <c r="H7" s="67" t="n"/>
    </row>
    <row r="8" ht="32" customHeight="1">
      <c r="A8" s="26" t="n">
        <v>3</v>
      </c>
      <c r="B8" s="35" t="inlineStr">
        <is>
          <t>機能適合</t>
        </is>
      </c>
      <c r="C8" s="25" t="inlineStr">
        <is>
          <t>帳票の追加・レイアウト変更は当社側で可能ですか。可能な範囲はどこまでですか</t>
        </is>
      </c>
      <c r="D8" s="11" t="inlineStr">
        <is>
          <t>都度依頼(有償)だと運用開始後に効いてくる</t>
        </is>
      </c>
      <c r="E8" s="67" t="n"/>
      <c r="F8" s="67" t="n"/>
      <c r="G8" s="67" t="n"/>
      <c r="H8" s="67" t="n"/>
    </row>
    <row r="9" ht="32" customHeight="1">
      <c r="A9" s="12" t="n">
        <v>4</v>
      </c>
      <c r="B9" s="37" t="inlineStr">
        <is>
          <t>機能適合</t>
        </is>
      </c>
      <c r="C9" s="38" t="inlineStr">
        <is>
          <t>利用部門の担当者が実機を触れる環境をご用意いただけますか</t>
        </is>
      </c>
      <c r="D9" s="39" t="inlineStr">
        <is>
          <t>情シスの評価と現場の評価はズレる。現場が触らないまま決めると定着しない</t>
        </is>
      </c>
      <c r="E9" s="67" t="n"/>
      <c r="F9" s="67" t="n"/>
      <c r="G9" s="67" t="n"/>
      <c r="H9" s="67" t="n"/>
    </row>
    <row r="10" ht="32" customHeight="1">
      <c r="A10" s="26" t="n">
        <v>5</v>
      </c>
      <c r="B10" s="35" t="inlineStr">
        <is>
          <t>コスト</t>
        </is>
      </c>
      <c r="C10" s="25" t="inlineStr">
        <is>
          <t>見積の内訳を、ライセンス/構築/カスタマイズ/移行/教育に分けていただけますか</t>
        </is>
      </c>
      <c r="D10" s="11" t="inlineStr">
        <is>
          <t>「一式」を分解させる。分解できない項目は後から増える</t>
        </is>
      </c>
      <c r="E10" s="67" t="n"/>
      <c r="F10" s="67" t="n"/>
      <c r="G10" s="67" t="n"/>
      <c r="H10" s="67" t="n"/>
    </row>
    <row r="11" ht="32" customHeight="1">
      <c r="A11" s="12" t="n">
        <v>6</v>
      </c>
      <c r="B11" s="37" t="inlineStr">
        <is>
          <t>コスト</t>
        </is>
      </c>
      <c r="C11" s="38" t="inlineStr">
        <is>
          <t>5年間の総額をお示しいただけますか。年度ごとの内訳もお願いします</t>
        </is>
      </c>
      <c r="D11" s="39" t="inlineStr">
        <is>
          <t>初期費用の安さで釣る提案を排除する。判断は必ずTCOで行う</t>
        </is>
      </c>
      <c r="E11" s="67" t="n"/>
      <c r="F11" s="67" t="n"/>
      <c r="G11" s="67" t="n"/>
      <c r="H11" s="67" t="n"/>
    </row>
    <row r="12" ht="32" customHeight="1">
      <c r="A12" s="26" t="n">
        <v>7</v>
      </c>
      <c r="B12" s="35" t="inlineStr">
        <is>
          <t>コスト</t>
        </is>
      </c>
      <c r="C12" s="25" t="inlineStr">
        <is>
          <t>利用者が◯名増えた場合、費用はどう変わりますか</t>
        </is>
      </c>
      <c r="D12" s="11" t="inlineStr">
        <is>
          <t>5年後の想定規模で試算させる。段階課金の閾値を把握する</t>
        </is>
      </c>
      <c r="E12" s="67" t="n"/>
      <c r="F12" s="67" t="n"/>
      <c r="G12" s="67" t="n"/>
      <c r="H12" s="67" t="n"/>
    </row>
    <row r="13" ht="32" customHeight="1">
      <c r="A13" s="12" t="n">
        <v>8</v>
      </c>
      <c r="B13" s="37" t="inlineStr">
        <is>
          <t>コスト</t>
        </is>
      </c>
      <c r="C13" s="38" t="inlineStr">
        <is>
          <t>法改正対応の費用は保守料に含まれますか、別途見積ですか</t>
        </is>
      </c>
      <c r="D13" s="39" t="inlineStr">
        <is>
          <t>ここが別料金だと、毎年の想定外支出が発生する</t>
        </is>
      </c>
      <c r="E13" s="67" t="n"/>
      <c r="F13" s="67" t="n"/>
      <c r="G13" s="67" t="n"/>
      <c r="H13" s="67" t="n"/>
    </row>
    <row r="14" ht="32" customHeight="1">
      <c r="A14" s="26" t="n">
        <v>9</v>
      </c>
      <c r="B14" s="35" t="inlineStr">
        <is>
          <t>コスト</t>
        </is>
      </c>
      <c r="C14" s="25" t="inlineStr">
        <is>
          <t>契約の最低利用期間と、途中解約時の取り扱いを教えてください</t>
        </is>
      </c>
      <c r="D14" s="11" t="inlineStr">
        <is>
          <t>失敗したときの退出コストを事前に把握する</t>
        </is>
      </c>
      <c r="E14" s="67" t="n"/>
      <c r="F14" s="67" t="n"/>
      <c r="G14" s="67" t="n"/>
      <c r="H14" s="67" t="n"/>
    </row>
    <row r="15" ht="32" customHeight="1">
      <c r="A15" s="12" t="n">
        <v>10</v>
      </c>
      <c r="B15" s="37" t="inlineStr">
        <is>
          <t>コスト</t>
        </is>
      </c>
      <c r="C15" s="38" t="inlineStr">
        <is>
          <t>値上げが発生する場合の通知時期と条件を教えてください</t>
        </is>
      </c>
      <c r="D15" s="39" t="inlineStr">
        <is>
          <t>SaaSでは特に重要。予算計画が立てられるか</t>
        </is>
      </c>
      <c r="E15" s="67" t="n"/>
      <c r="F15" s="67" t="n"/>
      <c r="G15" s="67" t="n"/>
      <c r="H15" s="67" t="n"/>
    </row>
    <row r="16" ht="32" customHeight="1">
      <c r="A16" s="26" t="n">
        <v>11</v>
      </c>
      <c r="B16" s="35" t="inlineStr">
        <is>
          <t>導入・移行負荷</t>
        </is>
      </c>
      <c r="C16" s="25" t="inlineStr">
        <is>
          <t>本プロジェクトで当社側に発生する作業と工数(人日)を、工程別にお示しください</t>
        </is>
      </c>
      <c r="D16" s="11" t="inlineStr">
        <is>
          <t>最重要質問。ここを答えられないベンダーは進行管理も期待できない</t>
        </is>
      </c>
      <c r="E16" s="67" t="n"/>
      <c r="F16" s="67" t="n"/>
      <c r="G16" s="67" t="n"/>
      <c r="H16" s="67" t="n"/>
    </row>
    <row r="17" ht="32" customHeight="1">
      <c r="A17" s="12" t="n">
        <v>12</v>
      </c>
      <c r="B17" s="37" t="inlineStr">
        <is>
          <t>導入・移行負荷</t>
        </is>
      </c>
      <c r="C17" s="38" t="inlineStr">
        <is>
          <t>移行できないデータ、移行に制約があるデータはありますか</t>
        </is>
      </c>
      <c r="D17" s="39" t="inlineStr">
        <is>
          <t>「全部移行できます」は要注意。必ず制約はある</t>
        </is>
      </c>
      <c r="E17" s="67" t="n"/>
      <c r="F17" s="67" t="n"/>
      <c r="G17" s="67" t="n"/>
      <c r="H17" s="67" t="n"/>
    </row>
    <row r="18" ht="32" customHeight="1">
      <c r="A18" s="26" t="n">
        <v>13</v>
      </c>
      <c r="B18" s="35" t="inlineStr">
        <is>
          <t>導入・移行負荷</t>
        </is>
      </c>
      <c r="C18" s="25" t="inlineStr">
        <is>
          <t>移行作業のうち、御社の担当範囲と当社の担当範囲の線引きを文書でいただけますか</t>
        </is>
      </c>
      <c r="D18" s="11" t="inlineStr">
        <is>
          <t>口頭合意は必ず揉める。RACI形式で残す</t>
        </is>
      </c>
      <c r="E18" s="67" t="n"/>
      <c r="F18" s="67" t="n"/>
      <c r="G18" s="67" t="n"/>
      <c r="H18" s="67" t="n"/>
    </row>
    <row r="19" ht="32" customHeight="1">
      <c r="A19" s="12" t="n">
        <v>14</v>
      </c>
      <c r="B19" s="37" t="inlineStr">
        <is>
          <t>導入・移行負荷</t>
        </is>
      </c>
      <c r="C19" s="38" t="inlineStr">
        <is>
          <t>研修は何回・何名まで、どの費用に含まれていますか</t>
        </is>
      </c>
      <c r="D19" s="39" t="inlineStr">
        <is>
          <t>追加研修が有償だと、異動のたびに費用が出る</t>
        </is>
      </c>
      <c r="E19" s="67" t="n"/>
      <c r="F19" s="67" t="n"/>
      <c r="G19" s="67" t="n"/>
      <c r="H19" s="67" t="n"/>
    </row>
    <row r="20" ht="32" customHeight="1">
      <c r="A20" s="26" t="n">
        <v>15</v>
      </c>
      <c r="B20" s="35" t="inlineStr">
        <is>
          <t>導入・移行負荷</t>
        </is>
      </c>
      <c r="C20" s="25" t="inlineStr">
        <is>
          <t>切り戻し(ロールバック)が必要になった場合の手順と期限を教えてください</t>
        </is>
      </c>
      <c r="D20" s="11" t="inlineStr">
        <is>
          <t>決めずに切り替えると、問題発生時に判断できない</t>
        </is>
      </c>
      <c r="E20" s="67" t="n"/>
      <c r="F20" s="67" t="n"/>
      <c r="G20" s="67" t="n"/>
      <c r="H20" s="67" t="n"/>
    </row>
    <row r="21" ht="32" customHeight="1">
      <c r="A21" s="12" t="n">
        <v>16</v>
      </c>
      <c r="B21" s="37" t="inlineStr">
        <is>
          <t>導入・移行負荷</t>
        </is>
      </c>
      <c r="C21" s="38" t="inlineStr">
        <is>
          <t>同規模案件での、当初計画と実績の乖離を教えていただけますか</t>
        </is>
      </c>
      <c r="D21" s="39" t="inlineStr">
        <is>
          <t>正直に答えるベンダーは信頼できる。「乖離なし」は疑う</t>
        </is>
      </c>
      <c r="E21" s="67" t="n"/>
      <c r="F21" s="67" t="n"/>
      <c r="G21" s="67" t="n"/>
      <c r="H21" s="67" t="n"/>
    </row>
    <row r="22" ht="32" customHeight="1">
      <c r="A22" s="26" t="n">
        <v>17</v>
      </c>
      <c r="B22" s="35" t="inlineStr">
        <is>
          <t>サポート・保守</t>
        </is>
      </c>
      <c r="C22" s="25" t="inlineStr">
        <is>
          <t>保守契約に含まれる作業と、含まれない作業の一覧をいただけますか</t>
        </is>
      </c>
      <c r="D22" s="11" t="inlineStr">
        <is>
          <t>操作質問/設定変更/マスタ追加/障害調査/データ復旧の線引きを必ず文書で</t>
        </is>
      </c>
      <c r="E22" s="67" t="n"/>
      <c r="F22" s="67" t="n"/>
      <c r="G22" s="67" t="n"/>
      <c r="H22" s="67" t="n"/>
    </row>
    <row r="23" ht="32" customHeight="1">
      <c r="A23" s="12" t="n">
        <v>18</v>
      </c>
      <c r="B23" s="37" t="inlineStr">
        <is>
          <t>サポート・保守</t>
        </is>
      </c>
      <c r="C23" s="38" t="inlineStr">
        <is>
          <t>一次回答時間と復旧目標を、SLA文書としていただけますか</t>
        </is>
      </c>
      <c r="D23" s="39" t="inlineStr">
        <is>
          <t>口頭の「すぐ対応します」に意味はない</t>
        </is>
      </c>
      <c r="E23" s="67" t="n"/>
      <c r="F23" s="67" t="n"/>
      <c r="G23" s="67" t="n"/>
      <c r="H23" s="67" t="n"/>
    </row>
    <row r="24" ht="32" customHeight="1">
      <c r="A24" s="26" t="n">
        <v>19</v>
      </c>
      <c r="B24" s="35" t="inlineStr">
        <is>
          <t>サポート・保守</t>
        </is>
      </c>
      <c r="C24" s="25" t="inlineStr">
        <is>
          <t>問い合わせの受付時間と手段を教えてください。時間外の対応はありますか</t>
        </is>
      </c>
      <c r="D24" s="11" t="inlineStr">
        <is>
          <t>自社の稼働時間・繁忙期と突き合わせる</t>
        </is>
      </c>
      <c r="E24" s="67" t="n"/>
      <c r="F24" s="67" t="n"/>
      <c r="G24" s="67" t="n"/>
      <c r="H24" s="67" t="n"/>
    </row>
    <row r="25" ht="32" customHeight="1">
      <c r="A25" s="12" t="n">
        <v>20</v>
      </c>
      <c r="B25" s="37" t="inlineStr">
        <is>
          <t>サポート・保守</t>
        </is>
      </c>
      <c r="C25" s="38" t="inlineStr">
        <is>
          <t>担当者が交代する場合の引継ぎ体制はどうなっていますか</t>
        </is>
      </c>
      <c r="D25" s="39" t="inlineStr">
        <is>
          <t>属人的な体制は、担当交代で一気に品質が落ちる</t>
        </is>
      </c>
      <c r="E25" s="67" t="n"/>
      <c r="F25" s="67" t="n"/>
      <c r="G25" s="67" t="n"/>
      <c r="H25" s="67" t="n"/>
    </row>
    <row r="26" ht="32" customHeight="1">
      <c r="A26" s="26" t="n">
        <v>21</v>
      </c>
      <c r="B26" s="35" t="inlineStr">
        <is>
          <t>サポート・保守</t>
        </is>
      </c>
      <c r="C26" s="25" t="inlineStr">
        <is>
          <t>年間の問い合わせ件数に上限はありますか</t>
        </is>
      </c>
      <c r="D26" s="11" t="inlineStr">
        <is>
          <t>上限超過で課金される契約がある。導入初年度は問い合わせが増える</t>
        </is>
      </c>
      <c r="E26" s="67" t="n"/>
      <c r="F26" s="67" t="n"/>
      <c r="G26" s="67" t="n"/>
      <c r="H26" s="67" t="n"/>
    </row>
    <row r="27" ht="32" customHeight="1">
      <c r="A27" s="12" t="n">
        <v>22</v>
      </c>
      <c r="B27" s="37" t="inlineStr">
        <is>
          <t>拡張性・将来性</t>
        </is>
      </c>
      <c r="C27" s="38" t="inlineStr">
        <is>
          <t>APIは公開されていますか。仕様書をいただけますか</t>
        </is>
      </c>
      <c r="D27" s="39" t="inlineStr">
        <is>
          <t>仕様書を出せない=実質使えない。将来の連携が全部有償開発になる</t>
        </is>
      </c>
      <c r="E27" s="67" t="n"/>
      <c r="F27" s="67" t="n"/>
      <c r="G27" s="67" t="n"/>
      <c r="H27" s="67" t="n"/>
    </row>
    <row r="28" ht="32" customHeight="1">
      <c r="A28" s="26" t="n">
        <v>23</v>
      </c>
      <c r="B28" s="35" t="inlineStr">
        <is>
          <t>拡張性・将来性</t>
        </is>
      </c>
      <c r="C28" s="25" t="inlineStr">
        <is>
          <t>契約終了時、当社データを機械可読形式で全件出力できますか。契約書のどこに記載がありますか</t>
        </is>
      </c>
      <c r="D28" s="11" t="inlineStr">
        <is>
          <t>ロックイン回避の要。条項がないなら追記を求める</t>
        </is>
      </c>
      <c r="E28" s="67" t="n"/>
      <c r="F28" s="67" t="n"/>
      <c r="G28" s="67" t="n"/>
      <c r="H28" s="67" t="n"/>
    </row>
    <row r="29" ht="32" customHeight="1">
      <c r="A29" s="12" t="n">
        <v>24</v>
      </c>
      <c r="B29" s="37" t="inlineStr">
        <is>
          <t>拡張性・将来性</t>
        </is>
      </c>
      <c r="C29" s="38" t="inlineStr">
        <is>
          <t>直近の法改正について、いつ対応版をリリースされましたか</t>
        </is>
      </c>
      <c r="D29" s="39" t="inlineStr">
        <is>
          <t>方針ではなく実績で聞く。対応が遅いベンダーは次も遅い</t>
        </is>
      </c>
      <c r="E29" s="67" t="n"/>
      <c r="F29" s="67" t="n"/>
      <c r="G29" s="67" t="n"/>
      <c r="H29" s="67" t="n"/>
    </row>
    <row r="30" ht="32" customHeight="1">
      <c r="A30" s="26" t="n">
        <v>25</v>
      </c>
      <c r="B30" s="35" t="inlineStr">
        <is>
          <t>拡張性・将来性</t>
        </is>
      </c>
      <c r="C30" s="25" t="inlineStr">
        <is>
          <t>バージョンアップは強制ですか。当社側の検証工数はどの程度必要ですか</t>
        </is>
      </c>
      <c r="D30" s="11" t="inlineStr">
        <is>
          <t>強制VUPは毎回テスト工数が発生する。カスタマイズ部分の改修費負担も確認</t>
        </is>
      </c>
      <c r="E30" s="67" t="n"/>
      <c r="F30" s="67" t="n"/>
      <c r="G30" s="67" t="n"/>
      <c r="H30" s="67" t="n"/>
    </row>
    <row r="31" ht="32" customHeight="1">
      <c r="A31" s="12" t="n">
        <v>26</v>
      </c>
      <c r="B31" s="37" t="inlineStr">
        <is>
          <t>拡張性・将来性</t>
        </is>
      </c>
      <c r="C31" s="38" t="inlineStr">
        <is>
          <t>当該製品の開発継続方針と、サポート終了(EOL)の考え方を教えてください</t>
        </is>
      </c>
      <c r="D31" s="39" t="inlineStr">
        <is>
          <t>5年以上使う前提。撤退されると再調達になる</t>
        </is>
      </c>
      <c r="E31" s="67" t="n"/>
      <c r="F31" s="67" t="n"/>
      <c r="G31" s="67" t="n"/>
      <c r="H31" s="67" t="n"/>
    </row>
    <row r="32" ht="32" customHeight="1">
      <c r="A32" s="26" t="n">
        <v>27</v>
      </c>
      <c r="B32" s="35" t="inlineStr">
        <is>
          <t>ベンダー信頼性</t>
        </is>
      </c>
      <c r="C32" s="25" t="inlineStr">
        <is>
          <t>当社と同業種・同規模の導入事例をご紹介いただけますか</t>
        </is>
      </c>
      <c r="D32" s="11" t="inlineStr">
        <is>
          <t>業種と規模の両方が近い事例を求める。片方だけでは参考にならない</t>
        </is>
      </c>
      <c r="E32" s="67" t="n"/>
      <c r="F32" s="67" t="n"/>
      <c r="G32" s="67" t="n"/>
      <c r="H32" s="67" t="n"/>
    </row>
    <row r="33" ht="32" customHeight="1">
      <c r="A33" s="12" t="n">
        <v>28</v>
      </c>
      <c r="B33" s="37" t="inlineStr">
        <is>
          <t>ベンダー信頼性</t>
        </is>
      </c>
      <c r="C33" s="38" t="inlineStr">
        <is>
          <t>参考顧客様への訪問またはお電話でのヒアリングは可能ですか</t>
        </is>
      </c>
      <c r="D33" s="39" t="inlineStr">
        <is>
          <t>応じるベンダーは自信がある。断る場合は理由を聞く</t>
        </is>
      </c>
      <c r="E33" s="67" t="n"/>
      <c r="F33" s="67" t="n"/>
      <c r="G33" s="67" t="n"/>
      <c r="H33" s="67" t="n"/>
    </row>
    <row r="34" ht="32" customHeight="1">
      <c r="A34" s="26" t="n">
        <v>29</v>
      </c>
      <c r="B34" s="35" t="inlineStr">
        <is>
          <t>ベンダー信頼性</t>
        </is>
      </c>
      <c r="C34" s="25" t="inlineStr">
        <is>
          <t>本案件の体制図と、各担当者の経験年数を教えてください</t>
        </is>
      </c>
      <c r="D34" s="11" t="inlineStr">
        <is>
          <t>営業は優秀でも実装体制が手薄、という構図を見抜く</t>
        </is>
      </c>
      <c r="E34" s="67" t="n"/>
      <c r="F34" s="67" t="n"/>
      <c r="G34" s="67" t="n"/>
      <c r="H34" s="67" t="n"/>
    </row>
    <row r="35" ht="32" customHeight="1">
      <c r="A35" s="12" t="n">
        <v>30</v>
      </c>
      <c r="B35" s="37" t="inlineStr">
        <is>
          <t>ベンダー信頼性</t>
        </is>
      </c>
      <c r="C35" s="38" t="inlineStr">
        <is>
          <t>提案いただいた内容のうち、当社のヒアリング結果を反映した箇所はどこですか</t>
        </is>
      </c>
      <c r="D35" s="39" t="inlineStr">
        <is>
          <t>汎用資料の流用かどうかが一発で分かる</t>
        </is>
      </c>
      <c r="E35" s="67" t="n"/>
      <c r="F35" s="67" t="n"/>
      <c r="G35" s="67" t="n"/>
      <c r="H35" s="67" t="n"/>
    </row>
  </sheetData>
  <mergeCells count="1">
    <mergeCell ref="A1:H1"/>
  </mergeCells>
  <dataValidations count="1">
    <dataValidation sqref="E6:H35" showDropDown="0" showInputMessage="0" showErrorMessage="0" allowBlank="1" type="list">
      <formula1>"済,未,N/A"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2026-07-28T11:24:17Z</dcterms:created>
  <dcterms:modified xsi:type="dcterms:W3CDTF">2026-07-28T11:24:17Z</dcterms:modified>
</cp:coreProperties>
</file>